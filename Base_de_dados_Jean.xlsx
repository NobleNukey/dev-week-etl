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gamidiarj-my.sharepoint.com/personal/jean_santos_megamidiarj_onmicrosoft_com/Documents/Python/01 - Python e Machine Learning/DIO/01 - Engenharia de Dados e Machine Learning/04 – Análise de Dados com Excel E Copilot/07 - Criando um Dashboard de Vendas Excel/"/>
    </mc:Choice>
  </mc:AlternateContent>
  <xr:revisionPtr revIDLastSave="3" documentId="13_ncr:1_{3C2F8ED6-40B2-4E08-832A-7140AC03FA60}" xr6:coauthVersionLast="47" xr6:coauthVersionMax="47" xr10:uidLastSave="{2ABFF30D-3829-4AE2-9AB1-517A13FB07FF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18" i="3"/>
</calcChain>
</file>

<file path=xl/sharedStrings.xml><?xml version="1.0" encoding="utf-8"?>
<sst xmlns="http://schemas.openxmlformats.org/spreadsheetml/2006/main" count="2021" uniqueCount="324">
  <si>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</si>
  <si>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</si>
  <si>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</si>
  <si>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</si>
  <si>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</si>
  <si>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</si>
  <si>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</si>
  <si>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</si>
  <si>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</si>
  <si>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</si>
  <si>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</si>
  <si>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</si>
  <si>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</si>
  <si>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</si>
  <si>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</si>
  <si>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</si>
  <si>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</si>
  <si>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</si>
  <si>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</si>
  <si>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</si>
  <si>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</si>
  <si>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</si>
  <si>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</si>
  <si>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</si>
  <si>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</si>
  <si>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</si>
  <si>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</si>
  <si>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</si>
  <si>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</si>
  <si>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</si>
  <si>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</si>
  <si>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</si>
  <si>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</si>
  <si>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</si>
  <si>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</si>
  <si>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</si>
  <si>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</si>
  <si>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</si>
  <si>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</si>
  <si>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</si>
  <si>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</si>
  <si>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</si>
  <si>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</si>
  <si>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</si>
  <si>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</si>
  <si>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</si>
  <si>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</si>
  <si>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</si>
  <si>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</si>
  <si>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</si>
  <si>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</si>
  <si>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</si>
  <si>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</si>
  <si>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</si>
  <si>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</si>
  <si>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</si>
  <si>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</si>
  <si>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</si>
  <si>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</si>
  <si>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</si>
  <si>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</si>
  <si>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</si>
  <si>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</si>
  <si>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</si>
  <si>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</si>
  <si>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</si>
  <si>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</si>
  <si>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</si>
  <si>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</si>
  <si>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</si>
  <si>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</si>
  <si>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</si>
  <si>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</si>
  <si>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</si>
  <si>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</si>
  <si>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</si>
  <si>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</si>
  <si>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</si>
  <si>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</si>
  <si>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</si>
  <si>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</si>
  <si>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</si>
  <si>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</si>
  <si>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</si>
  <si>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</si>
  <si>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</si>
  <si>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</si>
  <si>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</si>
  <si>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</si>
  <si>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</si>
  <si>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</si>
  <si>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</si>
  <si>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</si>
  <si>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</si>
  <si>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</si>
  <si>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</si>
  <si>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</si>
  <si>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</si>
  <si>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</si>
  <si>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</si>
  <si>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</si>
  <si>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</si>
  <si>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</si>
  <si>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</si>
  <si>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</si>
  <si>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</si>
  <si>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</si>
  <si>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</si>
  <si>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</si>
  <si>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</si>
  <si>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</si>
  <si>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</si>
  <si>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</si>
  <si>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</si>
  <si>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</si>
  <si>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</si>
  <si>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</si>
  <si>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</si>
  <si>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</si>
  <si>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</si>
  <si>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</si>
  <si>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</si>
  <si>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</si>
  <si>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</si>
  <si>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</si>
  <si>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</si>
  <si>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</si>
  <si>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</si>
  <si>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</si>
  <si>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</si>
  <si>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</si>
  <si>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</si>
  <si>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</si>
  <si>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</si>
  <si>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</si>
  <si>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</si>
  <si>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</si>
  <si>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</si>
  <si>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</si>
  <si>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</si>
  <si>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</si>
  <si>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</si>
  <si>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</si>
  <si>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</si>
  <si>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</si>
  <si>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</si>
  <si>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</si>
  <si>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</si>
  <si>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</si>
  <si>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</si>
  <si>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</si>
  <si>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</si>
  <si>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</si>
  <si>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</si>
  <si>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</si>
  <si>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</si>
  <si>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</si>
  <si>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</si>
  <si>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</si>
  <si>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</si>
  <si>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</si>
  <si>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</si>
  <si>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</si>
  <si>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</si>
  <si>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</si>
  <si>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</si>
  <si>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</si>
  <si>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</si>
  <si>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</si>
  <si>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</si>
  <si>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</si>
  <si>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</si>
  <si>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</si>
  <si>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</si>
  <si>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</si>
  <si>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</si>
  <si>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</si>
  <si>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</si>
  <si>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</si>
  <si>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</si>
  <si>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</si>
  <si>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</si>
  <si>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</si>
  <si>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</si>
  <si>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</si>
  <si>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</si>
  <si>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</si>
  <si>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</si>
  <si>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</si>
  <si>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</si>
  <si>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</si>
  <si>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</si>
  <si>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</si>
  <si>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</si>
  <si>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</si>
  <si>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</si>
  <si>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</si>
  <si>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</si>
  <si>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</si>
  <si>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</si>
  <si>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</si>
  <si>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</si>
  <si>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</si>
  <si>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</si>
  <si>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</si>
  <si>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</si>
  <si>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</si>
  <si>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</si>
  <si>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</si>
  <si>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</si>
  <si>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</si>
  <si>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</si>
  <si>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</si>
  <si>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</si>
  <si>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</si>
  <si>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</si>
  <si>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</si>
  <si>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</si>
  <si>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</si>
  <si>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</si>
  <si>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</si>
  <si>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</si>
  <si>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</si>
  <si>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</si>
  <si>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</si>
  <si>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</si>
  <si>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</si>
  <si>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</si>
  <si>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</si>
  <si>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</si>
  <si>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</si>
  <si>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</si>
  <si>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</si>
  <si>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</si>
  <si>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</si>
  <si>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</si>
  <si>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</si>
  <si>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</si>
  <si>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</si>
  <si>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</si>
  <si>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</si>
  <si>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</si>
  <si>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</si>
  <si>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</si>
  <si>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</si>
  <si>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</si>
  <si>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</si>
  <si>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</si>
  <si>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</si>
  <si>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</si>
  <si>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</si>
  <si>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</si>
  <si>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</si>
  <si>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</si>
  <si>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</si>
  <si>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</si>
  <si>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</si>
  <si>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</si>
  <si>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</si>
  <si>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</si>
  <si>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</si>
  <si>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</si>
  <si>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</si>
  <si>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</si>
  <si>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</si>
  <si>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</si>
  <si>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</si>
  <si>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</si>
  <si>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</si>
  <si>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</si>
  <si>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</si>
  <si>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</si>
  <si>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</si>
  <si>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</si>
  <si>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</si>
  <si>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</si>
  <si>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</si>
  <si>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</si>
  <si>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</si>
  <si>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</si>
  <si>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</si>
  <si>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</si>
  <si>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</si>
  <si>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</si>
  <si>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</si>
  <si>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</si>
  <si>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</si>
  <si>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</si>
  <si>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</si>
  <si>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</si>
  <si>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</si>
  <si>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</si>
  <si>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</si>
  <si>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</si>
  <si>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</si>
  <si>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</si>
  <si>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</si>
  <si>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</si>
  <si>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</si>
  <si>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</si>
  <si>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</si>
  <si>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</si>
  <si>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</si>
  <si>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</si>
  <si>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</si>
  <si>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</si>
  <si>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</si>
  <si>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</si>
  <si>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</si>
  <si>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</si>
  <si>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</si>
  <si>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</si>
  <si>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</si>
  <si>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>Pergunta 1 - Qual o faturamento</t>
    </r>
    <r>
      <rPr>
        <b/>
        <sz val="11"/>
        <color theme="1"/>
        <rFont val="Aptos Narrow"/>
        <family val="2"/>
        <scheme val="minor"/>
      </rPr>
      <t xml:space="preserve"> Toral de Vendas </t>
    </r>
    <r>
      <rPr>
        <sz val="11"/>
        <color theme="1"/>
        <rFont val="Aptos Narrow"/>
        <family val="2"/>
        <scheme val="minor"/>
      </rPr>
      <t>de planos atnuais (contendo todas as assinaturas agregadas)</t>
    </r>
  </si>
  <si>
    <t>Rótulos de Linha</t>
  </si>
  <si>
    <t>Total Geral</t>
  </si>
  <si>
    <t>Soma de Total Value</t>
  </si>
  <si>
    <t>Pergunta 2 - Qual o faturamento Total de vendas anuais, separado por Auto Renovação e Não Auto Renovação</t>
  </si>
  <si>
    <t>XBOX GAMEPASS SUBSCRIPTION SALES</t>
  </si>
  <si>
    <t>Pergunta de Negócios 3 - assinatura total de vendas EA play</t>
  </si>
  <si>
    <t>Soma de EA Play Season Pass</t>
  </si>
  <si>
    <t>Soma de Minecraft Season Pass Price</t>
  </si>
  <si>
    <t>Pergunta 4 - Valores Minecraft season pass</t>
  </si>
  <si>
    <t>Período de Apuração: 01/01/2026 - 31/12/2026 ‖ Update date: 21/03/2026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</si>
</sst>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5DB36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0" xfId="0" applyFill="1"/>
    <xf numFmtId="0" fontId="1" fillId="0" borderId="2" xfId="1" applyBorder="1"/>
    <xf numFmtId="0" fontId="0" fillId="0" borderId="0" xfId="0" applyNumberFormat="1"/>
    <xf numFmtId="44" fontId="0" fillId="0" borderId="0" xfId="0" applyNumberFormat="1"/>
    <xf numFmtId="44" fontId="0" fillId="0" borderId="0" xfId="2" applyFont="1"/>
    <xf numFmtId="44" fontId="0" fillId="7" borderId="0" xfId="0" applyNumberFormat="1" applyFill="1"/>
    <xf numFmtId="0" fontId="4" fillId="0" borderId="2" xfId="1" applyFont="1" applyBorder="1" applyAlignment="1">
      <alignment horizontal="left" indent="6"/>
    </xf>
    <xf numFmtId="0" fontId="0" fillId="0" borderId="0" xfId="0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2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z val="14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solid">
          <bgColor rgb="FF5DB36F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1B3BE7AD-F655-40AB-AED2-C6CCE4F0FBE8}">
      <tableStyleElement type="wholeTable" dxfId="14"/>
      <tableStyleElement type="headerRow" dxfId="13"/>
    </tableStyle>
  </tableStyles>
  <colors>
    <mruColors>
      <color rgb="FF5DB36F"/>
      <color rgb="FF22C55E"/>
      <color rgb="FF000000"/>
      <color rgb="FF099F09"/>
      <color rgb="FF5BF6A8"/>
      <color rgb="FF2AE6B1"/>
      <color rgb="FFE8E6E9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rgb="FF099F0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2AE6B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[147 – Base de Dados.xlsx]C̳álculos!Tbl_Annual_Total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DB36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937645518701917E-2"/>
          <c:y val="0.16326976375967148"/>
          <c:w val="0.8608998084619196"/>
          <c:h val="0.728876479226497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DB36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3-4949-9633-496DD3421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5600399"/>
        <c:axId val="2035602319"/>
      </c:barChart>
      <c:catAx>
        <c:axId val="203560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5602319"/>
        <c:crosses val="autoZero"/>
        <c:auto val="1"/>
        <c:lblAlgn val="ctr"/>
        <c:lblOffset val="100"/>
        <c:noMultiLvlLbl val="0"/>
      </c:catAx>
      <c:valAx>
        <c:axId val="203560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3560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20570866141736"/>
          <c:y val="0.57231198701318409"/>
          <c:w val="9.8794291338582682E-2"/>
          <c:h val="8.48994128624095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478155</xdr:colOff>
      <xdr:row>12</xdr:row>
      <xdr:rowOff>91440</xdr:rowOff>
    </xdr:from>
    <xdr:to>
      <xdr:col>5</xdr:col>
      <xdr:colOff>396241</xdr:colOff>
      <xdr:row>15</xdr:row>
      <xdr:rowOff>62865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F4799A-B61B-428B-B4BF-B71CD1F81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20750" r="64835"/>
        <a:stretch/>
      </xdr:blipFill>
      <xdr:spPr>
        <a:xfrm>
          <a:off x="2916555" y="2446020"/>
          <a:ext cx="527686" cy="527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349623</xdr:colOff>
      <xdr:row>1</xdr:row>
      <xdr:rowOff>482887</xdr:rowOff>
    </xdr:from>
    <xdr:to>
      <xdr:col>0</xdr:col>
      <xdr:colOff>1918447</xdr:colOff>
      <xdr:row>2</xdr:row>
      <xdr:rowOff>464510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BB33E3E-6F21-4631-B8FF-BED801F0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623" y="662181"/>
          <a:ext cx="1568824" cy="537435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3</xdr:row>
      <xdr:rowOff>38101</xdr:rowOff>
    </xdr:from>
    <xdr:to>
      <xdr:col>0</xdr:col>
      <xdr:colOff>2263140</xdr:colOff>
      <xdr:row>10</xdr:row>
      <xdr:rowOff>167641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A5D53A99-72AB-493F-A15A-85981DB407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160" y="1329019"/>
              <a:ext cx="2125980" cy="13845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333936</xdr:colOff>
      <xdr:row>3</xdr:row>
      <xdr:rowOff>144777</xdr:rowOff>
    </xdr:from>
    <xdr:to>
      <xdr:col>8</xdr:col>
      <xdr:colOff>286870</xdr:colOff>
      <xdr:row>9</xdr:row>
      <xdr:rowOff>171673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472EAA2-87E7-3D4F-C8E6-827EA56C9A2A}"/>
            </a:ext>
          </a:extLst>
        </xdr:cNvPr>
        <xdr:cNvGrpSpPr/>
      </xdr:nvGrpSpPr>
      <xdr:grpSpPr>
        <a:xfrm>
          <a:off x="2682689" y="1435695"/>
          <a:ext cx="3978087" cy="1102660"/>
          <a:chOff x="2539253" y="1425388"/>
          <a:chExt cx="3978087" cy="110266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181362E2-35AC-7E84-CB67-E3712B19A6FC}"/>
              </a:ext>
            </a:extLst>
          </xdr:cNvPr>
          <xdr:cNvSpPr/>
        </xdr:nvSpPr>
        <xdr:spPr>
          <a:xfrm>
            <a:off x="2539253" y="1776480"/>
            <a:ext cx="3954732" cy="751568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18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AFF9ED7-C0E5-1952-3453-5F1D5A91D3ED}"/>
              </a:ext>
            </a:extLst>
          </xdr:cNvPr>
          <xdr:cNvSpPr/>
        </xdr:nvSpPr>
        <xdr:spPr>
          <a:xfrm>
            <a:off x="3808193" y="1895118"/>
            <a:ext cx="2709147" cy="603938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388B700C-0723-4BA8-82CF-350E295EB2E9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DD629706-E41A-4B7E-83ED-95EB011664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9105" r="5224" b="23134"/>
          <a:stretch/>
        </xdr:blipFill>
        <xdr:spPr>
          <a:xfrm>
            <a:off x="2702736" y="1982354"/>
            <a:ext cx="931841" cy="429467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B6DE7EBF-7D8D-46FB-D0E1-F3E828F2B647}"/>
              </a:ext>
            </a:extLst>
          </xdr:cNvPr>
          <xdr:cNvSpPr/>
        </xdr:nvSpPr>
        <xdr:spPr>
          <a:xfrm>
            <a:off x="2539253" y="1425388"/>
            <a:ext cx="3946947" cy="375784"/>
          </a:xfrm>
          <a:prstGeom prst="round2SameRect">
            <a:avLst>
              <a:gd name="adj1" fmla="val 23810"/>
              <a:gd name="adj2" fmla="val 0"/>
            </a:avLst>
          </a:prstGeom>
          <a:solidFill>
            <a:srgbClr val="5DB36F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pt-BR" sz="14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SUBSCRIPTIONS ES PLAY SEASON PASS</a:t>
            </a:r>
            <a:endParaRPr lang="pt-BR" sz="1400">
              <a:effectLst/>
            </a:endParaRPr>
          </a:p>
        </xdr:txBody>
      </xdr:sp>
    </xdr:grpSp>
    <xdr:clientData/>
  </xdr:twoCellAnchor>
  <xdr:twoCellAnchor>
    <xdr:from>
      <xdr:col>1</xdr:col>
      <xdr:colOff>313765</xdr:colOff>
      <xdr:row>12</xdr:row>
      <xdr:rowOff>76199</xdr:rowOff>
    </xdr:from>
    <xdr:to>
      <xdr:col>16</xdr:col>
      <xdr:colOff>313765</xdr:colOff>
      <xdr:row>26</xdr:row>
      <xdr:rowOff>8965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50CF9C37-077F-F049-CED1-8384F83F991D}"/>
            </a:ext>
          </a:extLst>
        </xdr:cNvPr>
        <xdr:cNvGrpSpPr/>
      </xdr:nvGrpSpPr>
      <xdr:grpSpPr>
        <a:xfrm>
          <a:off x="2662518" y="2980764"/>
          <a:ext cx="8740588" cy="2442883"/>
          <a:chOff x="2599765" y="2980764"/>
          <a:chExt cx="8740588" cy="2442883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BE8B5E94-4D7B-A37E-C216-CD8302614B90}"/>
              </a:ext>
            </a:extLst>
          </xdr:cNvPr>
          <xdr:cNvGrpSpPr/>
        </xdr:nvGrpSpPr>
        <xdr:grpSpPr>
          <a:xfrm>
            <a:off x="2608729" y="2994212"/>
            <a:ext cx="8731624" cy="2429435"/>
            <a:chOff x="2476500" y="1478280"/>
            <a:chExt cx="4937760" cy="3002280"/>
          </a:xfrm>
          <a:solidFill>
            <a:schemeClr val="bg1"/>
          </a:solidFill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990E2127-15F0-275D-CF61-328662537F5B}"/>
                </a:ext>
              </a:extLst>
            </xdr:cNvPr>
            <xdr:cNvSpPr/>
          </xdr:nvSpPr>
          <xdr:spPr>
            <a:xfrm>
              <a:off x="2476500" y="1478280"/>
              <a:ext cx="4937760" cy="3002280"/>
            </a:xfrm>
            <a:prstGeom prst="roundRect">
              <a:avLst>
                <a:gd name="adj" fmla="val 3723"/>
              </a:avLst>
            </a:prstGeom>
            <a:grp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6E74B2A-61E0-4A66-BEA1-76F227982EFD}"/>
                </a:ext>
              </a:extLst>
            </xdr:cNvPr>
            <xdr:cNvGraphicFramePr>
              <a:graphicFrameLocks/>
            </xdr:cNvGraphicFramePr>
          </xdr:nvGraphicFramePr>
          <xdr:xfrm>
            <a:off x="2697480" y="1592581"/>
            <a:ext cx="4511040" cy="263652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707CD9A5-8E8B-4DFC-A9E8-175C324FF030}"/>
              </a:ext>
            </a:extLst>
          </xdr:cNvPr>
          <xdr:cNvSpPr/>
        </xdr:nvSpPr>
        <xdr:spPr>
          <a:xfrm>
            <a:off x="2599765" y="2980764"/>
            <a:ext cx="8740588" cy="375784"/>
          </a:xfrm>
          <a:prstGeom prst="round2SameRect">
            <a:avLst>
              <a:gd name="adj1" fmla="val 23810"/>
              <a:gd name="adj2" fmla="val 0"/>
            </a:avLst>
          </a:prstGeom>
          <a:solidFill>
            <a:srgbClr val="5DB36F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pt-BR" sz="14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SUBSCRIPTIONS XBOX GAME PASS</a:t>
            </a:r>
            <a:endParaRPr lang="pt-BR" sz="1400">
              <a:effectLst/>
            </a:endParaRPr>
          </a:p>
        </xdr:txBody>
      </xdr:sp>
    </xdr:grpSp>
    <xdr:clientData/>
  </xdr:twoCellAnchor>
  <xdr:twoCellAnchor>
    <xdr:from>
      <xdr:col>9</xdr:col>
      <xdr:colOff>378761</xdr:colOff>
      <xdr:row>3</xdr:row>
      <xdr:rowOff>155536</xdr:rowOff>
    </xdr:from>
    <xdr:to>
      <xdr:col>16</xdr:col>
      <xdr:colOff>264417</xdr:colOff>
      <xdr:row>9</xdr:row>
      <xdr:rowOff>160915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67FAC21D-8B90-CA4F-43D6-FC1881BE8215}"/>
            </a:ext>
          </a:extLst>
        </xdr:cNvPr>
        <xdr:cNvGrpSpPr/>
      </xdr:nvGrpSpPr>
      <xdr:grpSpPr>
        <a:xfrm>
          <a:off x="7362267" y="1446454"/>
          <a:ext cx="3991491" cy="1081143"/>
          <a:chOff x="7218831" y="1436144"/>
          <a:chExt cx="3991491" cy="1081143"/>
        </a:xfrm>
      </xdr:grpSpPr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F1568D62-BB57-F87A-8237-4F5462FC409E}"/>
              </a:ext>
            </a:extLst>
          </xdr:cNvPr>
          <xdr:cNvSpPr/>
        </xdr:nvSpPr>
        <xdr:spPr>
          <a:xfrm>
            <a:off x="7218831" y="1762197"/>
            <a:ext cx="3990385" cy="755090"/>
          </a:xfrm>
          <a:prstGeom prst="rect">
            <a:avLst/>
          </a:prstGeom>
          <a:solidFill>
            <a:schemeClr val="bg1"/>
          </a:solidFill>
          <a:ln>
            <a:solidFill>
              <a:schemeClr val="bg1">
                <a:lumMod val="95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65A68CD3-DD90-37A3-482A-64522BC644DE}"/>
              </a:ext>
            </a:extLst>
          </xdr:cNvPr>
          <xdr:cNvSpPr/>
        </xdr:nvSpPr>
        <xdr:spPr>
          <a:xfrm>
            <a:off x="7227795" y="1436144"/>
            <a:ext cx="3982527" cy="377545"/>
          </a:xfrm>
          <a:prstGeom prst="round2SameRect">
            <a:avLst>
              <a:gd name="adj1" fmla="val 23810"/>
              <a:gd name="adj2" fmla="val 0"/>
            </a:avLst>
          </a:prstGeom>
          <a:solidFill>
            <a:srgbClr val="5DB36F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pt-BR" sz="14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SUBSCRIPTIONS MINECRAFT SEASON PASS</a:t>
            </a:r>
            <a:endParaRPr lang="pt-BR" sz="1400">
              <a:effectLst/>
            </a:endParaRPr>
          </a:p>
        </xdr:txBody>
      </xdr: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0B40D50D-FB57-4D64-8727-2641C4E95A92}"/>
              </a:ext>
            </a:extLst>
          </xdr:cNvPr>
          <xdr:cNvGrpSpPr/>
        </xdr:nvGrpSpPr>
        <xdr:grpSpPr>
          <a:xfrm>
            <a:off x="7429527" y="1994876"/>
            <a:ext cx="841301" cy="433168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3D40E570-43C2-A5AD-1BD3-821C3B3A9F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27">
              <a:extLst>
                <a:ext uri="{FF2B5EF4-FFF2-40B4-BE49-F238E27FC236}">
                  <a16:creationId xmlns:a16="http://schemas.microsoft.com/office/drawing/2014/main" id="{305D9248-0AA2-5F69-CEE5-3D5D8056AB1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C̳álculos!F34">
        <xdr:nvSpPr>
          <xdr:cNvPr id="34" name="Retângulo: Cantos Arredondados 33">
            <a:extLst>
              <a:ext uri="{FF2B5EF4-FFF2-40B4-BE49-F238E27FC236}">
                <a16:creationId xmlns:a16="http://schemas.microsoft.com/office/drawing/2014/main" id="{E51ADD78-909E-4A88-BAF8-77175C1B97D5}"/>
              </a:ext>
            </a:extLst>
          </xdr:cNvPr>
          <xdr:cNvSpPr/>
        </xdr:nvSpPr>
        <xdr:spPr>
          <a:xfrm>
            <a:off x="8375277" y="1907250"/>
            <a:ext cx="2749923" cy="608420"/>
          </a:xfrm>
          <a:prstGeom prst="round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48DEB007-E2C2-4C3F-994E-CDC2DA35631F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t> R$ 940,00 </a:t>
            </a:fld>
            <a:endParaRPr lang="pt-BR" sz="80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0</xdr:col>
      <xdr:colOff>878541</xdr:colOff>
      <xdr:row>0</xdr:row>
      <xdr:rowOff>98612</xdr:rowOff>
    </xdr:from>
    <xdr:to>
      <xdr:col>0</xdr:col>
      <xdr:colOff>1515036</xdr:colOff>
      <xdr:row>1</xdr:row>
      <xdr:rowOff>502025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713A3473-E8BB-443D-9075-33E97A400034}"/>
            </a:ext>
          </a:extLst>
        </xdr:cNvPr>
        <xdr:cNvSpPr/>
      </xdr:nvSpPr>
      <xdr:spPr>
        <a:xfrm>
          <a:off x="878541" y="98612"/>
          <a:ext cx="636495" cy="58270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313765</xdr:colOff>
      <xdr:row>0</xdr:row>
      <xdr:rowOff>98611</xdr:rowOff>
    </xdr:from>
    <xdr:to>
      <xdr:col>2</xdr:col>
      <xdr:colOff>473898</xdr:colOff>
      <xdr:row>1</xdr:row>
      <xdr:rowOff>447002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AA46C805-F50D-4C91-8373-9315249C18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-20750" r="64835"/>
        <a:stretch/>
      </xdr:blipFill>
      <xdr:spPr>
        <a:xfrm>
          <a:off x="2662518" y="98611"/>
          <a:ext cx="527686" cy="52768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03.464980439814" createdVersion="8" refreshedVersion="8" minRefreshableVersion="3" recordCount="295" xr:uid="{22533066-98D3-4469-BE28-BF7F775B84D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6567835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x v="0"/>
  </r>
  <r>
    <n v="3232"/>
    <x v="1"/>
    <x v="1"/>
    <d v="2024-01-15T00:00:00"/>
    <x v="1"/>
    <n v="5"/>
    <x v="1"/>
    <s v="No"/>
    <s v="-"/>
    <s v="No"/>
    <n v="0"/>
    <n v="0"/>
    <x v="1"/>
  </r>
  <r>
    <n v="3233"/>
    <x v="2"/>
    <x v="2"/>
    <d v="2024-02-10T00:00:00"/>
    <x v="0"/>
    <n v="10"/>
    <x v="2"/>
    <s v="No"/>
    <s v="-"/>
    <s v="Yes"/>
    <n v="20"/>
    <n v="10"/>
    <x v="2"/>
  </r>
  <r>
    <n v="3234"/>
    <x v="3"/>
    <x v="0"/>
    <d v="2024-02-20T00:00:00"/>
    <x v="1"/>
    <n v="15"/>
    <x v="0"/>
    <s v="Yes"/>
    <n v="30"/>
    <s v="Yes"/>
    <n v="20"/>
    <n v="3"/>
    <x v="3"/>
  </r>
  <r>
    <n v="3235"/>
    <x v="4"/>
    <x v="1"/>
    <d v="2024-03-05T00:00:00"/>
    <x v="0"/>
    <n v="5"/>
    <x v="0"/>
    <s v="No"/>
    <s v="-"/>
    <s v="No"/>
    <n v="0"/>
    <n v="1"/>
    <x v="4"/>
  </r>
  <r>
    <n v="3236"/>
    <x v="5"/>
    <x v="2"/>
    <d v="2024-03-02T00:00:00"/>
    <x v="1"/>
    <n v="10"/>
    <x v="0"/>
    <s v="No"/>
    <s v="-"/>
    <s v="Yes"/>
    <n v="20"/>
    <n v="2"/>
    <x v="5"/>
  </r>
  <r>
    <n v="3237"/>
    <x v="6"/>
    <x v="0"/>
    <d v="2024-03-03T00:00:00"/>
    <x v="0"/>
    <n v="15"/>
    <x v="2"/>
    <s v="Yes"/>
    <n v="30"/>
    <s v="Yes"/>
    <n v="20"/>
    <n v="10"/>
    <x v="6"/>
  </r>
  <r>
    <n v="3238"/>
    <x v="7"/>
    <x v="1"/>
    <d v="2024-03-04T00:00:00"/>
    <x v="0"/>
    <n v="5"/>
    <x v="1"/>
    <s v="No"/>
    <s v="-"/>
    <s v="No"/>
    <n v="0"/>
    <n v="0"/>
    <x v="1"/>
  </r>
  <r>
    <n v="3239"/>
    <x v="8"/>
    <x v="0"/>
    <d v="2024-03-05T00:00:00"/>
    <x v="1"/>
    <n v="15"/>
    <x v="0"/>
    <s v="Yes"/>
    <n v="30"/>
    <s v="Yes"/>
    <n v="20"/>
    <n v="5"/>
    <x v="0"/>
  </r>
  <r>
    <n v="3240"/>
    <x v="9"/>
    <x v="2"/>
    <d v="2024-03-06T00:00:00"/>
    <x v="0"/>
    <n v="10"/>
    <x v="2"/>
    <s v="No"/>
    <s v="-"/>
    <s v="Yes"/>
    <n v="20"/>
    <n v="15"/>
    <x v="7"/>
  </r>
  <r>
    <n v="3241"/>
    <x v="10"/>
    <x v="1"/>
    <d v="2024-03-07T00:00:00"/>
    <x v="1"/>
    <n v="5"/>
    <x v="0"/>
    <s v="No"/>
    <s v="-"/>
    <s v="No"/>
    <n v="0"/>
    <n v="1"/>
    <x v="4"/>
  </r>
  <r>
    <n v="3242"/>
    <x v="11"/>
    <x v="0"/>
    <d v="2024-03-08T00:00:00"/>
    <x v="0"/>
    <n v="15"/>
    <x v="1"/>
    <s v="Yes"/>
    <n v="30"/>
    <s v="Yes"/>
    <n v="20"/>
    <n v="20"/>
    <x v="8"/>
  </r>
  <r>
    <n v="3243"/>
    <x v="12"/>
    <x v="2"/>
    <d v="2024-03-09T00:00:00"/>
    <x v="1"/>
    <n v="10"/>
    <x v="0"/>
    <s v="No"/>
    <s v="-"/>
    <s v="Yes"/>
    <n v="20"/>
    <n v="10"/>
    <x v="2"/>
  </r>
  <r>
    <n v="3244"/>
    <x v="13"/>
    <x v="1"/>
    <d v="2024-03-10T00:00:00"/>
    <x v="0"/>
    <n v="5"/>
    <x v="2"/>
    <s v="No"/>
    <s v="-"/>
    <s v="No"/>
    <n v="0"/>
    <n v="0"/>
    <x v="1"/>
  </r>
  <r>
    <n v="3245"/>
    <x v="14"/>
    <x v="0"/>
    <d v="2024-03-11T00:00:00"/>
    <x v="1"/>
    <n v="15"/>
    <x v="0"/>
    <s v="Yes"/>
    <n v="30"/>
    <s v="Yes"/>
    <n v="20"/>
    <n v="8"/>
    <x v="9"/>
  </r>
  <r>
    <n v="3246"/>
    <x v="15"/>
    <x v="2"/>
    <d v="2024-03-12T00:00:00"/>
    <x v="0"/>
    <n v="10"/>
    <x v="1"/>
    <s v="No"/>
    <s v="-"/>
    <s v="Yes"/>
    <n v="20"/>
    <n v="12"/>
    <x v="10"/>
  </r>
  <r>
    <n v="3247"/>
    <x v="16"/>
    <x v="1"/>
    <d v="2024-03-13T00:00:00"/>
    <x v="1"/>
    <n v="5"/>
    <x v="0"/>
    <s v="No"/>
    <s v="-"/>
    <s v="No"/>
    <n v="0"/>
    <n v="2"/>
    <x v="11"/>
  </r>
  <r>
    <n v="3248"/>
    <x v="17"/>
    <x v="0"/>
    <d v="2024-03-14T00:00:00"/>
    <x v="0"/>
    <n v="15"/>
    <x v="2"/>
    <s v="Yes"/>
    <n v="30"/>
    <s v="Yes"/>
    <n v="20"/>
    <n v="7"/>
    <x v="12"/>
  </r>
  <r>
    <n v="3249"/>
    <x v="18"/>
    <x v="2"/>
    <d v="2024-03-15T00:00:00"/>
    <x v="1"/>
    <n v="10"/>
    <x v="0"/>
    <s v="No"/>
    <s v="-"/>
    <s v="Yes"/>
    <n v="20"/>
    <n v="5"/>
    <x v="13"/>
  </r>
  <r>
    <n v="3250"/>
    <x v="19"/>
    <x v="1"/>
    <d v="2024-03-16T00:00:00"/>
    <x v="0"/>
    <n v="5"/>
    <x v="1"/>
    <s v="No"/>
    <s v="-"/>
    <s v="No"/>
    <n v="0"/>
    <n v="0"/>
    <x v="1"/>
  </r>
  <r>
    <n v="3251"/>
    <x v="20"/>
    <x v="0"/>
    <d v="2024-03-17T00:00:00"/>
    <x v="1"/>
    <n v="15"/>
    <x v="0"/>
    <s v="Yes"/>
    <n v="30"/>
    <s v="Yes"/>
    <n v="20"/>
    <n v="3"/>
    <x v="3"/>
  </r>
  <r>
    <n v="3252"/>
    <x v="21"/>
    <x v="2"/>
    <d v="2024-03-18T00:00:00"/>
    <x v="0"/>
    <n v="10"/>
    <x v="2"/>
    <s v="No"/>
    <s v="-"/>
    <s v="Yes"/>
    <n v="20"/>
    <n v="15"/>
    <x v="7"/>
  </r>
  <r>
    <n v="3253"/>
    <x v="22"/>
    <x v="1"/>
    <d v="2024-03-19T00:00:00"/>
    <x v="1"/>
    <n v="5"/>
    <x v="0"/>
    <s v="No"/>
    <s v="-"/>
    <s v="No"/>
    <n v="0"/>
    <n v="1"/>
    <x v="4"/>
  </r>
  <r>
    <n v="3254"/>
    <x v="23"/>
    <x v="0"/>
    <d v="2024-03-20T00:00:00"/>
    <x v="0"/>
    <n v="15"/>
    <x v="1"/>
    <s v="Yes"/>
    <n v="30"/>
    <s v="Yes"/>
    <n v="20"/>
    <n v="20"/>
    <x v="8"/>
  </r>
  <r>
    <n v="3255"/>
    <x v="24"/>
    <x v="2"/>
    <d v="2024-03-21T00:00:00"/>
    <x v="1"/>
    <n v="10"/>
    <x v="0"/>
    <s v="No"/>
    <s v="-"/>
    <s v="Yes"/>
    <n v="20"/>
    <n v="10"/>
    <x v="2"/>
  </r>
  <r>
    <n v="3256"/>
    <x v="25"/>
    <x v="1"/>
    <d v="2024-03-22T00:00:00"/>
    <x v="0"/>
    <n v="5"/>
    <x v="2"/>
    <s v="No"/>
    <s v="-"/>
    <s v="No"/>
    <n v="0"/>
    <n v="0"/>
    <x v="1"/>
  </r>
  <r>
    <n v="3257"/>
    <x v="26"/>
    <x v="0"/>
    <d v="2024-03-23T00:00:00"/>
    <x v="1"/>
    <n v="15"/>
    <x v="0"/>
    <s v="Yes"/>
    <n v="30"/>
    <s v="Yes"/>
    <n v="20"/>
    <n v="5"/>
    <x v="0"/>
  </r>
  <r>
    <n v="3258"/>
    <x v="27"/>
    <x v="2"/>
    <d v="2024-03-24T00:00:00"/>
    <x v="0"/>
    <n v="10"/>
    <x v="1"/>
    <s v="No"/>
    <s v="-"/>
    <s v="Yes"/>
    <n v="20"/>
    <n v="15"/>
    <x v="7"/>
  </r>
  <r>
    <n v="3259"/>
    <x v="28"/>
    <x v="1"/>
    <d v="2024-03-25T00:00:00"/>
    <x v="1"/>
    <n v="5"/>
    <x v="0"/>
    <s v="No"/>
    <s v="-"/>
    <s v="No"/>
    <n v="0"/>
    <n v="1"/>
    <x v="4"/>
  </r>
  <r>
    <n v="3260"/>
    <x v="29"/>
    <x v="0"/>
    <d v="2024-03-26T00:00:00"/>
    <x v="0"/>
    <n v="15"/>
    <x v="2"/>
    <s v="Yes"/>
    <n v="30"/>
    <s v="Yes"/>
    <n v="20"/>
    <n v="7"/>
    <x v="12"/>
  </r>
  <r>
    <n v="3261"/>
    <x v="30"/>
    <x v="2"/>
    <d v="2024-03-27T00:00:00"/>
    <x v="1"/>
    <n v="10"/>
    <x v="0"/>
    <s v="No"/>
    <s v="-"/>
    <s v="Yes"/>
    <n v="20"/>
    <n v="10"/>
    <x v="2"/>
  </r>
  <r>
    <n v="3262"/>
    <x v="31"/>
    <x v="1"/>
    <d v="2024-03-28T00:00:00"/>
    <x v="0"/>
    <n v="5"/>
    <x v="1"/>
    <s v="No"/>
    <s v="-"/>
    <s v="No"/>
    <n v="0"/>
    <n v="0"/>
    <x v="1"/>
  </r>
  <r>
    <n v="3263"/>
    <x v="32"/>
    <x v="0"/>
    <d v="2024-03-29T00:00:00"/>
    <x v="1"/>
    <n v="15"/>
    <x v="0"/>
    <s v="Yes"/>
    <n v="30"/>
    <s v="Yes"/>
    <n v="20"/>
    <n v="3"/>
    <x v="3"/>
  </r>
  <r>
    <n v="3264"/>
    <x v="33"/>
    <x v="2"/>
    <d v="2024-03-30T00:00:00"/>
    <x v="0"/>
    <n v="10"/>
    <x v="2"/>
    <s v="No"/>
    <s v="-"/>
    <s v="Yes"/>
    <n v="20"/>
    <n v="15"/>
    <x v="7"/>
  </r>
  <r>
    <n v="3265"/>
    <x v="34"/>
    <x v="1"/>
    <d v="2024-03-31T00:00:00"/>
    <x v="1"/>
    <n v="5"/>
    <x v="0"/>
    <s v="No"/>
    <s v="-"/>
    <s v="No"/>
    <n v="0"/>
    <n v="1"/>
    <x v="4"/>
  </r>
  <r>
    <n v="3266"/>
    <x v="35"/>
    <x v="1"/>
    <d v="2024-04-01T00:00:00"/>
    <x v="0"/>
    <n v="5"/>
    <x v="0"/>
    <s v="No"/>
    <s v="-"/>
    <s v="No"/>
    <n v="0"/>
    <n v="0"/>
    <x v="1"/>
  </r>
  <r>
    <n v="3267"/>
    <x v="36"/>
    <x v="0"/>
    <d v="2024-04-02T00:00:00"/>
    <x v="1"/>
    <n v="15"/>
    <x v="2"/>
    <s v="Yes"/>
    <n v="30"/>
    <s v="Yes"/>
    <n v="20"/>
    <n v="7"/>
    <x v="12"/>
  </r>
  <r>
    <n v="3268"/>
    <x v="37"/>
    <x v="2"/>
    <d v="2024-04-03T00:00:00"/>
    <x v="0"/>
    <n v="10"/>
    <x v="1"/>
    <s v="No"/>
    <s v="-"/>
    <s v="Yes"/>
    <n v="20"/>
    <n v="10"/>
    <x v="2"/>
  </r>
  <r>
    <n v="3269"/>
    <x v="38"/>
    <x v="1"/>
    <d v="2024-04-04T00:00:00"/>
    <x v="1"/>
    <n v="5"/>
    <x v="2"/>
    <s v="No"/>
    <s v="-"/>
    <s v="No"/>
    <n v="0"/>
    <n v="1"/>
    <x v="4"/>
  </r>
  <r>
    <n v="3270"/>
    <x v="39"/>
    <x v="0"/>
    <d v="2024-04-05T00:00:00"/>
    <x v="0"/>
    <n v="15"/>
    <x v="0"/>
    <s v="Yes"/>
    <n v="30"/>
    <s v="Yes"/>
    <n v="20"/>
    <n v="15"/>
    <x v="14"/>
  </r>
  <r>
    <n v="3271"/>
    <x v="40"/>
    <x v="2"/>
    <d v="2024-04-06T00:00:00"/>
    <x v="1"/>
    <n v="10"/>
    <x v="0"/>
    <s v="No"/>
    <s v="-"/>
    <s v="Yes"/>
    <n v="20"/>
    <n v="5"/>
    <x v="13"/>
  </r>
  <r>
    <n v="3272"/>
    <x v="41"/>
    <x v="1"/>
    <d v="2024-04-07T00:00:00"/>
    <x v="0"/>
    <n v="5"/>
    <x v="1"/>
    <s v="No"/>
    <s v="-"/>
    <s v="No"/>
    <n v="0"/>
    <n v="0"/>
    <x v="1"/>
  </r>
  <r>
    <n v="3273"/>
    <x v="42"/>
    <x v="0"/>
    <d v="2024-04-08T00:00:00"/>
    <x v="1"/>
    <n v="15"/>
    <x v="2"/>
    <s v="Yes"/>
    <n v="30"/>
    <s v="Yes"/>
    <n v="20"/>
    <n v="20"/>
    <x v="8"/>
  </r>
  <r>
    <n v="3274"/>
    <x v="43"/>
    <x v="2"/>
    <d v="2024-04-09T00:00:00"/>
    <x v="0"/>
    <n v="10"/>
    <x v="2"/>
    <s v="No"/>
    <s v="-"/>
    <s v="Yes"/>
    <n v="20"/>
    <n v="12"/>
    <x v="10"/>
  </r>
  <r>
    <n v="3275"/>
    <x v="44"/>
    <x v="1"/>
    <d v="2024-04-10T00:00:00"/>
    <x v="1"/>
    <n v="5"/>
    <x v="0"/>
    <s v="No"/>
    <s v="-"/>
    <s v="No"/>
    <n v="0"/>
    <n v="2"/>
    <x v="11"/>
  </r>
  <r>
    <n v="3276"/>
    <x v="45"/>
    <x v="0"/>
    <d v="2024-04-11T00:00:00"/>
    <x v="0"/>
    <n v="15"/>
    <x v="1"/>
    <s v="Yes"/>
    <n v="30"/>
    <s v="Yes"/>
    <n v="20"/>
    <n v="5"/>
    <x v="0"/>
  </r>
  <r>
    <n v="3277"/>
    <x v="46"/>
    <x v="2"/>
    <d v="2024-04-12T00:00:00"/>
    <x v="1"/>
    <n v="10"/>
    <x v="0"/>
    <s v="No"/>
    <s v="-"/>
    <s v="Yes"/>
    <n v="20"/>
    <n v="10"/>
    <x v="2"/>
  </r>
  <r>
    <n v="3278"/>
    <x v="47"/>
    <x v="1"/>
    <d v="2024-04-13T00:00:00"/>
    <x v="0"/>
    <n v="5"/>
    <x v="2"/>
    <s v="No"/>
    <s v="-"/>
    <s v="No"/>
    <n v="0"/>
    <n v="0"/>
    <x v="1"/>
  </r>
  <r>
    <n v="3279"/>
    <x v="48"/>
    <x v="0"/>
    <d v="2024-04-14T00:00:00"/>
    <x v="1"/>
    <n v="15"/>
    <x v="0"/>
    <s v="Yes"/>
    <n v="30"/>
    <s v="Yes"/>
    <n v="20"/>
    <n v="3"/>
    <x v="3"/>
  </r>
  <r>
    <n v="3280"/>
    <x v="49"/>
    <x v="2"/>
    <d v="2024-04-15T00:00:00"/>
    <x v="0"/>
    <n v="10"/>
    <x v="1"/>
    <s v="No"/>
    <s v="-"/>
    <s v="Yes"/>
    <n v="20"/>
    <n v="15"/>
    <x v="7"/>
  </r>
  <r>
    <n v="3281"/>
    <x v="50"/>
    <x v="1"/>
    <d v="2024-04-16T00:00:00"/>
    <x v="1"/>
    <n v="5"/>
    <x v="0"/>
    <s v="No"/>
    <s v="-"/>
    <s v="No"/>
    <n v="0"/>
    <n v="1"/>
    <x v="4"/>
  </r>
  <r>
    <n v="3282"/>
    <x v="51"/>
    <x v="0"/>
    <d v="2024-04-17T00:00:00"/>
    <x v="0"/>
    <n v="15"/>
    <x v="2"/>
    <s v="Yes"/>
    <n v="30"/>
    <s v="Yes"/>
    <n v="20"/>
    <n v="7"/>
    <x v="12"/>
  </r>
  <r>
    <n v="3283"/>
    <x v="52"/>
    <x v="2"/>
    <d v="2024-04-18T00:00:00"/>
    <x v="1"/>
    <n v="10"/>
    <x v="0"/>
    <s v="No"/>
    <s v="-"/>
    <s v="Yes"/>
    <n v="20"/>
    <n v="10"/>
    <x v="2"/>
  </r>
  <r>
    <n v="3284"/>
    <x v="53"/>
    <x v="1"/>
    <d v="2024-04-19T00:00:00"/>
    <x v="0"/>
    <n v="5"/>
    <x v="1"/>
    <s v="No"/>
    <s v="-"/>
    <s v="No"/>
    <n v="0"/>
    <n v="0"/>
    <x v="1"/>
  </r>
  <r>
    <n v="3285"/>
    <x v="54"/>
    <x v="0"/>
    <d v="2024-04-20T00:00:00"/>
    <x v="1"/>
    <n v="15"/>
    <x v="0"/>
    <s v="Yes"/>
    <n v="30"/>
    <s v="Yes"/>
    <n v="20"/>
    <n v="20"/>
    <x v="8"/>
  </r>
  <r>
    <n v="3286"/>
    <x v="55"/>
    <x v="2"/>
    <d v="2024-04-21T00:00:00"/>
    <x v="0"/>
    <n v="10"/>
    <x v="2"/>
    <s v="No"/>
    <s v="-"/>
    <s v="Yes"/>
    <n v="20"/>
    <n v="15"/>
    <x v="7"/>
  </r>
  <r>
    <n v="3287"/>
    <x v="56"/>
    <x v="1"/>
    <d v="2024-04-22T00:00:00"/>
    <x v="1"/>
    <n v="5"/>
    <x v="0"/>
    <s v="No"/>
    <s v="-"/>
    <s v="No"/>
    <n v="0"/>
    <n v="1"/>
    <x v="4"/>
  </r>
  <r>
    <n v="3288"/>
    <x v="57"/>
    <x v="0"/>
    <d v="2024-04-23T00:00:00"/>
    <x v="0"/>
    <n v="15"/>
    <x v="1"/>
    <s v="Yes"/>
    <n v="30"/>
    <s v="Yes"/>
    <n v="20"/>
    <n v="3"/>
    <x v="3"/>
  </r>
  <r>
    <n v="3289"/>
    <x v="58"/>
    <x v="2"/>
    <d v="2024-04-24T00:00:00"/>
    <x v="1"/>
    <n v="10"/>
    <x v="0"/>
    <s v="No"/>
    <s v="-"/>
    <s v="Yes"/>
    <n v="20"/>
    <n v="10"/>
    <x v="2"/>
  </r>
  <r>
    <n v="3290"/>
    <x v="59"/>
    <x v="1"/>
    <d v="2024-04-25T00:00:00"/>
    <x v="0"/>
    <n v="5"/>
    <x v="2"/>
    <s v="No"/>
    <s v="-"/>
    <s v="No"/>
    <n v="0"/>
    <n v="0"/>
    <x v="1"/>
  </r>
  <r>
    <n v="3291"/>
    <x v="60"/>
    <x v="0"/>
    <d v="2024-04-26T00:00:00"/>
    <x v="1"/>
    <n v="15"/>
    <x v="0"/>
    <s v="Yes"/>
    <n v="30"/>
    <s v="Yes"/>
    <n v="20"/>
    <n v="5"/>
    <x v="0"/>
  </r>
  <r>
    <n v="3292"/>
    <x v="61"/>
    <x v="2"/>
    <d v="2024-04-27T00:00:00"/>
    <x v="0"/>
    <n v="10"/>
    <x v="1"/>
    <s v="No"/>
    <s v="-"/>
    <s v="Yes"/>
    <n v="20"/>
    <n v="15"/>
    <x v="7"/>
  </r>
  <r>
    <n v="3293"/>
    <x v="62"/>
    <x v="1"/>
    <d v="2024-04-28T00:00:00"/>
    <x v="1"/>
    <n v="5"/>
    <x v="0"/>
    <s v="No"/>
    <s v="-"/>
    <s v="No"/>
    <n v="0"/>
    <n v="1"/>
    <x v="4"/>
  </r>
  <r>
    <n v="3294"/>
    <x v="63"/>
    <x v="0"/>
    <d v="2024-04-29T00:00:00"/>
    <x v="0"/>
    <n v="15"/>
    <x v="2"/>
    <s v="Yes"/>
    <n v="30"/>
    <s v="Yes"/>
    <n v="20"/>
    <n v="20"/>
    <x v="8"/>
  </r>
  <r>
    <n v="3295"/>
    <x v="64"/>
    <x v="2"/>
    <d v="2024-04-30T00:00:00"/>
    <x v="1"/>
    <n v="10"/>
    <x v="0"/>
    <s v="No"/>
    <s v="-"/>
    <s v="Yes"/>
    <n v="20"/>
    <n v="5"/>
    <x v="13"/>
  </r>
  <r>
    <n v="3296"/>
    <x v="65"/>
    <x v="1"/>
    <d v="2024-05-01T00:00:00"/>
    <x v="1"/>
    <n v="5"/>
    <x v="0"/>
    <s v="No"/>
    <s v="-"/>
    <s v="No"/>
    <n v="0"/>
    <n v="0"/>
    <x v="1"/>
  </r>
  <r>
    <n v="3297"/>
    <x v="66"/>
    <x v="0"/>
    <d v="2024-05-02T00:00:00"/>
    <x v="0"/>
    <n v="15"/>
    <x v="2"/>
    <s v="Yes"/>
    <n v="30"/>
    <s v="Yes"/>
    <n v="20"/>
    <n v="7"/>
    <x v="12"/>
  </r>
  <r>
    <n v="3298"/>
    <x v="67"/>
    <x v="2"/>
    <d v="2024-05-03T00:00:00"/>
    <x v="1"/>
    <n v="10"/>
    <x v="1"/>
    <s v="No"/>
    <s v="-"/>
    <s v="Yes"/>
    <n v="20"/>
    <n v="10"/>
    <x v="2"/>
  </r>
  <r>
    <n v="3299"/>
    <x v="68"/>
    <x v="1"/>
    <d v="2024-05-04T00:00:00"/>
    <x v="0"/>
    <n v="5"/>
    <x v="2"/>
    <s v="No"/>
    <s v="-"/>
    <s v="No"/>
    <n v="0"/>
    <n v="1"/>
    <x v="4"/>
  </r>
  <r>
    <n v="3300"/>
    <x v="69"/>
    <x v="0"/>
    <d v="2024-05-05T00:00:00"/>
    <x v="1"/>
    <n v="15"/>
    <x v="0"/>
    <s v="Yes"/>
    <n v="30"/>
    <s v="Yes"/>
    <n v="20"/>
    <n v="15"/>
    <x v="14"/>
  </r>
  <r>
    <n v="3301"/>
    <x v="70"/>
    <x v="2"/>
    <d v="2024-05-06T00:00:00"/>
    <x v="0"/>
    <n v="10"/>
    <x v="0"/>
    <s v="No"/>
    <s v="-"/>
    <s v="Yes"/>
    <n v="20"/>
    <n v="5"/>
    <x v="13"/>
  </r>
  <r>
    <n v="3302"/>
    <x v="71"/>
    <x v="1"/>
    <d v="2024-05-07T00:00:00"/>
    <x v="1"/>
    <n v="5"/>
    <x v="1"/>
    <s v="No"/>
    <s v="-"/>
    <s v="No"/>
    <n v="0"/>
    <n v="0"/>
    <x v="1"/>
  </r>
  <r>
    <n v="3303"/>
    <x v="72"/>
    <x v="0"/>
    <d v="2024-05-08T00:00:00"/>
    <x v="0"/>
    <n v="15"/>
    <x v="2"/>
    <s v="Yes"/>
    <n v="30"/>
    <s v="Yes"/>
    <n v="20"/>
    <n v="20"/>
    <x v="8"/>
  </r>
  <r>
    <n v="3304"/>
    <x v="73"/>
    <x v="2"/>
    <d v="2024-05-09T00:00:00"/>
    <x v="1"/>
    <n v="10"/>
    <x v="2"/>
    <s v="No"/>
    <s v="-"/>
    <s v="Yes"/>
    <n v="20"/>
    <n v="12"/>
    <x v="10"/>
  </r>
  <r>
    <n v="3305"/>
    <x v="74"/>
    <x v="1"/>
    <d v="2024-05-10T00:00:00"/>
    <x v="0"/>
    <n v="5"/>
    <x v="0"/>
    <s v="No"/>
    <s v="-"/>
    <s v="No"/>
    <n v="0"/>
    <n v="2"/>
    <x v="11"/>
  </r>
  <r>
    <n v="3306"/>
    <x v="75"/>
    <x v="0"/>
    <d v="2024-05-11T00:00:00"/>
    <x v="1"/>
    <n v="15"/>
    <x v="1"/>
    <s v="Yes"/>
    <n v="30"/>
    <s v="Yes"/>
    <n v="20"/>
    <n v="5"/>
    <x v="0"/>
  </r>
  <r>
    <n v="3307"/>
    <x v="76"/>
    <x v="2"/>
    <d v="2024-05-12T00:00:00"/>
    <x v="0"/>
    <n v="10"/>
    <x v="0"/>
    <s v="No"/>
    <s v="-"/>
    <s v="Yes"/>
    <n v="20"/>
    <n v="10"/>
    <x v="2"/>
  </r>
  <r>
    <n v="3308"/>
    <x v="77"/>
    <x v="1"/>
    <d v="2024-05-13T00:00:00"/>
    <x v="1"/>
    <n v="5"/>
    <x v="2"/>
    <s v="No"/>
    <s v="-"/>
    <s v="No"/>
    <n v="0"/>
    <n v="0"/>
    <x v="1"/>
  </r>
  <r>
    <n v="3309"/>
    <x v="78"/>
    <x v="0"/>
    <d v="2024-05-14T00:00:00"/>
    <x v="0"/>
    <n v="15"/>
    <x v="0"/>
    <s v="Yes"/>
    <n v="30"/>
    <s v="Yes"/>
    <n v="20"/>
    <n v="3"/>
    <x v="3"/>
  </r>
  <r>
    <n v="3310"/>
    <x v="79"/>
    <x v="2"/>
    <d v="2024-05-15T00:00:00"/>
    <x v="1"/>
    <n v="10"/>
    <x v="1"/>
    <s v="No"/>
    <s v="-"/>
    <s v="Yes"/>
    <n v="20"/>
    <n v="15"/>
    <x v="7"/>
  </r>
  <r>
    <n v="3311"/>
    <x v="80"/>
    <x v="1"/>
    <d v="2024-05-16T00:00:00"/>
    <x v="0"/>
    <n v="5"/>
    <x v="0"/>
    <s v="No"/>
    <s v="-"/>
    <s v="No"/>
    <n v="0"/>
    <n v="1"/>
    <x v="4"/>
  </r>
  <r>
    <n v="3312"/>
    <x v="81"/>
    <x v="0"/>
    <d v="2024-05-17T00:00:00"/>
    <x v="1"/>
    <n v="15"/>
    <x v="2"/>
    <s v="Yes"/>
    <n v="30"/>
    <s v="Yes"/>
    <n v="20"/>
    <n v="7"/>
    <x v="12"/>
  </r>
  <r>
    <n v="3313"/>
    <x v="82"/>
    <x v="2"/>
    <d v="2024-05-18T00:00:00"/>
    <x v="0"/>
    <n v="10"/>
    <x v="0"/>
    <s v="No"/>
    <s v="-"/>
    <s v="Yes"/>
    <n v="20"/>
    <n v="10"/>
    <x v="2"/>
  </r>
  <r>
    <n v="3314"/>
    <x v="83"/>
    <x v="1"/>
    <d v="2024-05-19T00:00:00"/>
    <x v="1"/>
    <n v="5"/>
    <x v="1"/>
    <s v="No"/>
    <s v="-"/>
    <s v="No"/>
    <n v="0"/>
    <n v="0"/>
    <x v="1"/>
  </r>
  <r>
    <n v="3315"/>
    <x v="84"/>
    <x v="0"/>
    <d v="2024-05-20T00:00:00"/>
    <x v="0"/>
    <n v="15"/>
    <x v="0"/>
    <s v="Yes"/>
    <n v="30"/>
    <s v="Yes"/>
    <n v="20"/>
    <n v="20"/>
    <x v="8"/>
  </r>
  <r>
    <n v="3316"/>
    <x v="85"/>
    <x v="2"/>
    <d v="2024-05-21T00:00:00"/>
    <x v="1"/>
    <n v="10"/>
    <x v="2"/>
    <s v="No"/>
    <s v="-"/>
    <s v="Yes"/>
    <n v="20"/>
    <n v="15"/>
    <x v="7"/>
  </r>
  <r>
    <n v="3317"/>
    <x v="86"/>
    <x v="1"/>
    <d v="2024-05-22T00:00:00"/>
    <x v="0"/>
    <n v="5"/>
    <x v="0"/>
    <s v="No"/>
    <s v="-"/>
    <s v="No"/>
    <n v="0"/>
    <n v="1"/>
    <x v="4"/>
  </r>
  <r>
    <n v="3318"/>
    <x v="87"/>
    <x v="0"/>
    <d v="2024-05-23T00:00:00"/>
    <x v="1"/>
    <n v="15"/>
    <x v="1"/>
    <s v="Yes"/>
    <n v="30"/>
    <s v="Yes"/>
    <n v="20"/>
    <n v="3"/>
    <x v="3"/>
  </r>
  <r>
    <n v="3319"/>
    <x v="88"/>
    <x v="2"/>
    <d v="2024-05-24T00:00:00"/>
    <x v="0"/>
    <n v="10"/>
    <x v="0"/>
    <s v="No"/>
    <s v="-"/>
    <s v="Yes"/>
    <n v="20"/>
    <n v="10"/>
    <x v="2"/>
  </r>
  <r>
    <n v="3320"/>
    <x v="89"/>
    <x v="1"/>
    <d v="2024-05-25T00:00:00"/>
    <x v="1"/>
    <n v="5"/>
    <x v="2"/>
    <s v="No"/>
    <s v="-"/>
    <s v="No"/>
    <n v="0"/>
    <n v="0"/>
    <x v="1"/>
  </r>
  <r>
    <n v="3321"/>
    <x v="90"/>
    <x v="0"/>
    <d v="2024-05-26T00:00:00"/>
    <x v="0"/>
    <n v="15"/>
    <x v="0"/>
    <s v="Yes"/>
    <n v="30"/>
    <s v="Yes"/>
    <n v="20"/>
    <n v="5"/>
    <x v="0"/>
  </r>
  <r>
    <n v="3322"/>
    <x v="91"/>
    <x v="2"/>
    <d v="2024-05-27T00:00:00"/>
    <x v="1"/>
    <n v="10"/>
    <x v="1"/>
    <s v="No"/>
    <s v="-"/>
    <s v="Yes"/>
    <n v="20"/>
    <n v="15"/>
    <x v="7"/>
  </r>
  <r>
    <n v="3323"/>
    <x v="92"/>
    <x v="1"/>
    <d v="2024-05-28T00:00:00"/>
    <x v="0"/>
    <n v="5"/>
    <x v="0"/>
    <s v="No"/>
    <s v="-"/>
    <s v="No"/>
    <n v="0"/>
    <n v="1"/>
    <x v="4"/>
  </r>
  <r>
    <n v="3324"/>
    <x v="93"/>
    <x v="0"/>
    <d v="2024-05-29T00:00:00"/>
    <x v="1"/>
    <n v="15"/>
    <x v="2"/>
    <s v="Yes"/>
    <n v="30"/>
    <s v="Yes"/>
    <n v="20"/>
    <n v="20"/>
    <x v="8"/>
  </r>
  <r>
    <n v="3325"/>
    <x v="94"/>
    <x v="2"/>
    <d v="2024-05-30T00:00:00"/>
    <x v="0"/>
    <n v="10"/>
    <x v="2"/>
    <s v="No"/>
    <s v="-"/>
    <s v="Yes"/>
    <n v="20"/>
    <n v="15"/>
    <x v="7"/>
  </r>
  <r>
    <n v="3326"/>
    <x v="95"/>
    <x v="1"/>
    <d v="2024-05-31T00:00:00"/>
    <x v="1"/>
    <n v="5"/>
    <x v="1"/>
    <s v="No"/>
    <s v="-"/>
    <s v="No"/>
    <n v="0"/>
    <n v="0"/>
    <x v="1"/>
  </r>
  <r>
    <n v="3327"/>
    <x v="96"/>
    <x v="0"/>
    <d v="2024-06-01T00:00:00"/>
    <x v="0"/>
    <n v="15"/>
    <x v="0"/>
    <s v="Yes"/>
    <n v="30"/>
    <s v="Yes"/>
    <n v="20"/>
    <n v="7"/>
    <x v="12"/>
  </r>
  <r>
    <n v="3328"/>
    <x v="97"/>
    <x v="2"/>
    <d v="2024-06-02T00:00:00"/>
    <x v="1"/>
    <n v="10"/>
    <x v="1"/>
    <s v="No"/>
    <s v="-"/>
    <s v="Yes"/>
    <n v="20"/>
    <n v="10"/>
    <x v="2"/>
  </r>
  <r>
    <n v="3329"/>
    <x v="98"/>
    <x v="1"/>
    <d v="2024-06-03T00:00:00"/>
    <x v="0"/>
    <n v="5"/>
    <x v="2"/>
    <s v="No"/>
    <s v="-"/>
    <s v="No"/>
    <n v="0"/>
    <n v="1"/>
    <x v="4"/>
  </r>
  <r>
    <n v="3330"/>
    <x v="99"/>
    <x v="0"/>
    <d v="2024-06-04T00:00:00"/>
    <x v="1"/>
    <n v="15"/>
    <x v="0"/>
    <s v="Yes"/>
    <n v="30"/>
    <s v="Yes"/>
    <n v="20"/>
    <n v="15"/>
    <x v="14"/>
  </r>
  <r>
    <n v="3331"/>
    <x v="100"/>
    <x v="2"/>
    <d v="2024-06-05T00:00:00"/>
    <x v="0"/>
    <n v="10"/>
    <x v="0"/>
    <s v="No"/>
    <s v="-"/>
    <s v="Yes"/>
    <n v="20"/>
    <n v="5"/>
    <x v="13"/>
  </r>
  <r>
    <n v="3332"/>
    <x v="101"/>
    <x v="1"/>
    <d v="2024-06-06T00:00:00"/>
    <x v="1"/>
    <n v="5"/>
    <x v="1"/>
    <s v="No"/>
    <s v="-"/>
    <s v="No"/>
    <n v="0"/>
    <n v="0"/>
    <x v="1"/>
  </r>
  <r>
    <n v="3333"/>
    <x v="102"/>
    <x v="0"/>
    <d v="2024-06-07T00:00:00"/>
    <x v="0"/>
    <n v="15"/>
    <x v="2"/>
    <s v="Yes"/>
    <n v="30"/>
    <s v="Yes"/>
    <n v="20"/>
    <n v="20"/>
    <x v="8"/>
  </r>
  <r>
    <n v="3334"/>
    <x v="103"/>
    <x v="2"/>
    <d v="2024-06-08T00:00:00"/>
    <x v="1"/>
    <n v="10"/>
    <x v="2"/>
    <s v="No"/>
    <s v="-"/>
    <s v="Yes"/>
    <n v="20"/>
    <n v="12"/>
    <x v="10"/>
  </r>
  <r>
    <n v="3335"/>
    <x v="104"/>
    <x v="1"/>
    <d v="2024-06-09T00:00:00"/>
    <x v="0"/>
    <n v="5"/>
    <x v="0"/>
    <s v="No"/>
    <s v="-"/>
    <s v="No"/>
    <n v="0"/>
    <n v="2"/>
    <x v="11"/>
  </r>
  <r>
    <n v="3336"/>
    <x v="105"/>
    <x v="1"/>
    <d v="2024-06-10T00:00:00"/>
    <x v="0"/>
    <n v="5"/>
    <x v="0"/>
    <s v="No"/>
    <s v="-"/>
    <s v="No"/>
    <n v="0"/>
    <n v="0"/>
    <x v="1"/>
  </r>
  <r>
    <n v="3337"/>
    <x v="106"/>
    <x v="0"/>
    <d v="2024-06-11T00:00:00"/>
    <x v="1"/>
    <n v="15"/>
    <x v="2"/>
    <s v="Yes"/>
    <n v="30"/>
    <s v="Yes"/>
    <n v="20"/>
    <n v="7"/>
    <x v="12"/>
  </r>
  <r>
    <n v="3338"/>
    <x v="107"/>
    <x v="2"/>
    <d v="2024-06-12T00:00:00"/>
    <x v="0"/>
    <n v="10"/>
    <x v="1"/>
    <s v="No"/>
    <s v="-"/>
    <s v="Yes"/>
    <n v="20"/>
    <n v="10"/>
    <x v="2"/>
  </r>
  <r>
    <n v="3339"/>
    <x v="108"/>
    <x v="1"/>
    <d v="2024-06-13T00:00:00"/>
    <x v="1"/>
    <n v="5"/>
    <x v="2"/>
    <s v="No"/>
    <s v="-"/>
    <s v="No"/>
    <n v="0"/>
    <n v="1"/>
    <x v="4"/>
  </r>
  <r>
    <n v="3340"/>
    <x v="109"/>
    <x v="0"/>
    <d v="2024-06-14T00:00:00"/>
    <x v="0"/>
    <n v="15"/>
    <x v="0"/>
    <s v="Yes"/>
    <n v="30"/>
    <s v="Yes"/>
    <n v="20"/>
    <n v="15"/>
    <x v="14"/>
  </r>
  <r>
    <n v="3341"/>
    <x v="110"/>
    <x v="2"/>
    <d v="2024-06-15T00:00:00"/>
    <x v="1"/>
    <n v="10"/>
    <x v="0"/>
    <s v="No"/>
    <s v="-"/>
    <s v="Yes"/>
    <n v="20"/>
    <n v="5"/>
    <x v="13"/>
  </r>
  <r>
    <n v="3342"/>
    <x v="111"/>
    <x v="1"/>
    <d v="2024-06-16T00:00:00"/>
    <x v="0"/>
    <n v="5"/>
    <x v="1"/>
    <s v="No"/>
    <s v="-"/>
    <s v="No"/>
    <n v="0"/>
    <n v="0"/>
    <x v="1"/>
  </r>
  <r>
    <n v="3343"/>
    <x v="112"/>
    <x v="0"/>
    <d v="2024-06-17T00:00:00"/>
    <x v="1"/>
    <n v="15"/>
    <x v="2"/>
    <s v="Yes"/>
    <n v="30"/>
    <s v="Yes"/>
    <n v="20"/>
    <n v="20"/>
    <x v="8"/>
  </r>
  <r>
    <n v="3344"/>
    <x v="113"/>
    <x v="2"/>
    <d v="2024-06-18T00:00:00"/>
    <x v="0"/>
    <n v="10"/>
    <x v="2"/>
    <s v="No"/>
    <s v="-"/>
    <s v="Yes"/>
    <n v="20"/>
    <n v="12"/>
    <x v="10"/>
  </r>
  <r>
    <n v="3345"/>
    <x v="114"/>
    <x v="1"/>
    <d v="2024-06-19T00:00:00"/>
    <x v="1"/>
    <n v="5"/>
    <x v="0"/>
    <s v="No"/>
    <s v="-"/>
    <s v="No"/>
    <n v="0"/>
    <n v="2"/>
    <x v="11"/>
  </r>
  <r>
    <n v="3346"/>
    <x v="115"/>
    <x v="0"/>
    <d v="2024-06-20T00:00:00"/>
    <x v="0"/>
    <n v="15"/>
    <x v="1"/>
    <s v="Yes"/>
    <n v="30"/>
    <s v="Yes"/>
    <n v="20"/>
    <n v="5"/>
    <x v="0"/>
  </r>
  <r>
    <n v="3347"/>
    <x v="116"/>
    <x v="2"/>
    <d v="2024-06-21T00:00:00"/>
    <x v="1"/>
    <n v="10"/>
    <x v="0"/>
    <s v="No"/>
    <s v="-"/>
    <s v="Yes"/>
    <n v="20"/>
    <n v="10"/>
    <x v="2"/>
  </r>
  <r>
    <n v="3348"/>
    <x v="117"/>
    <x v="1"/>
    <d v="2024-06-22T00:00:00"/>
    <x v="0"/>
    <n v="5"/>
    <x v="2"/>
    <s v="No"/>
    <s v="-"/>
    <s v="No"/>
    <n v="0"/>
    <n v="0"/>
    <x v="1"/>
  </r>
  <r>
    <n v="3349"/>
    <x v="93"/>
    <x v="0"/>
    <d v="2024-06-23T00:00:00"/>
    <x v="1"/>
    <n v="15"/>
    <x v="0"/>
    <s v="Yes"/>
    <n v="30"/>
    <s v="Yes"/>
    <n v="20"/>
    <n v="3"/>
    <x v="3"/>
  </r>
  <r>
    <n v="3350"/>
    <x v="118"/>
    <x v="2"/>
    <d v="2024-06-24T00:00:00"/>
    <x v="0"/>
    <n v="10"/>
    <x v="1"/>
    <s v="No"/>
    <s v="-"/>
    <s v="Yes"/>
    <n v="20"/>
    <n v="15"/>
    <x v="7"/>
  </r>
  <r>
    <n v="3351"/>
    <x v="119"/>
    <x v="1"/>
    <d v="2024-06-25T00:00:00"/>
    <x v="1"/>
    <n v="5"/>
    <x v="0"/>
    <s v="No"/>
    <s v="-"/>
    <s v="No"/>
    <n v="0"/>
    <n v="1"/>
    <x v="4"/>
  </r>
  <r>
    <n v="3352"/>
    <x v="120"/>
    <x v="0"/>
    <d v="2024-06-26T00:00:00"/>
    <x v="0"/>
    <n v="15"/>
    <x v="2"/>
    <s v="Yes"/>
    <n v="30"/>
    <s v="Yes"/>
    <n v="20"/>
    <n v="7"/>
    <x v="12"/>
  </r>
  <r>
    <n v="3353"/>
    <x v="121"/>
    <x v="2"/>
    <d v="2024-06-27T00:00:00"/>
    <x v="1"/>
    <n v="10"/>
    <x v="0"/>
    <s v="No"/>
    <s v="-"/>
    <s v="Yes"/>
    <n v="20"/>
    <n v="10"/>
    <x v="2"/>
  </r>
  <r>
    <n v="3354"/>
    <x v="122"/>
    <x v="1"/>
    <d v="2024-06-28T00:00:00"/>
    <x v="0"/>
    <n v="5"/>
    <x v="1"/>
    <s v="No"/>
    <s v="-"/>
    <s v="No"/>
    <n v="0"/>
    <n v="0"/>
    <x v="1"/>
  </r>
  <r>
    <n v="3355"/>
    <x v="123"/>
    <x v="0"/>
    <d v="2024-06-29T00:00:00"/>
    <x v="1"/>
    <n v="15"/>
    <x v="0"/>
    <s v="Yes"/>
    <n v="30"/>
    <s v="Yes"/>
    <n v="20"/>
    <n v="20"/>
    <x v="8"/>
  </r>
  <r>
    <n v="3356"/>
    <x v="124"/>
    <x v="2"/>
    <d v="2024-06-30T00:00:00"/>
    <x v="0"/>
    <n v="10"/>
    <x v="2"/>
    <s v="No"/>
    <s v="-"/>
    <s v="Yes"/>
    <n v="20"/>
    <n v="15"/>
    <x v="7"/>
  </r>
  <r>
    <n v="3357"/>
    <x v="125"/>
    <x v="1"/>
    <d v="2024-07-01T00:00:00"/>
    <x v="1"/>
    <n v="5"/>
    <x v="0"/>
    <s v="No"/>
    <s v="-"/>
    <s v="No"/>
    <n v="0"/>
    <n v="1"/>
    <x v="4"/>
  </r>
  <r>
    <n v="3358"/>
    <x v="126"/>
    <x v="0"/>
    <d v="2024-07-02T00:00:00"/>
    <x v="0"/>
    <n v="15"/>
    <x v="1"/>
    <s v="Yes"/>
    <n v="30"/>
    <s v="Yes"/>
    <n v="20"/>
    <n v="3"/>
    <x v="3"/>
  </r>
  <r>
    <n v="3359"/>
    <x v="127"/>
    <x v="2"/>
    <d v="2024-07-03T00:00:00"/>
    <x v="1"/>
    <n v="10"/>
    <x v="0"/>
    <s v="No"/>
    <s v="-"/>
    <s v="Yes"/>
    <n v="20"/>
    <n v="10"/>
    <x v="2"/>
  </r>
  <r>
    <n v="3360"/>
    <x v="128"/>
    <x v="1"/>
    <d v="2024-07-04T00:00:00"/>
    <x v="0"/>
    <n v="5"/>
    <x v="2"/>
    <s v="No"/>
    <s v="-"/>
    <s v="No"/>
    <n v="0"/>
    <n v="0"/>
    <x v="1"/>
  </r>
  <r>
    <n v="3361"/>
    <x v="129"/>
    <x v="0"/>
    <d v="2024-07-05T00:00:00"/>
    <x v="1"/>
    <n v="15"/>
    <x v="0"/>
    <s v="Yes"/>
    <n v="30"/>
    <s v="Yes"/>
    <n v="20"/>
    <n v="15"/>
    <x v="14"/>
  </r>
  <r>
    <n v="3362"/>
    <x v="130"/>
    <x v="2"/>
    <d v="2024-07-06T00:00:00"/>
    <x v="0"/>
    <n v="10"/>
    <x v="1"/>
    <s v="No"/>
    <s v="-"/>
    <s v="Yes"/>
    <n v="20"/>
    <n v="15"/>
    <x v="7"/>
  </r>
  <r>
    <n v="3363"/>
    <x v="131"/>
    <x v="1"/>
    <d v="2024-07-07T00:00:00"/>
    <x v="1"/>
    <n v="5"/>
    <x v="0"/>
    <s v="No"/>
    <s v="-"/>
    <s v="No"/>
    <n v="0"/>
    <n v="1"/>
    <x v="4"/>
  </r>
  <r>
    <n v="3364"/>
    <x v="132"/>
    <x v="0"/>
    <d v="2024-07-08T00:00:00"/>
    <x v="0"/>
    <n v="15"/>
    <x v="2"/>
    <s v="Yes"/>
    <n v="30"/>
    <s v="Yes"/>
    <n v="20"/>
    <n v="7"/>
    <x v="12"/>
  </r>
  <r>
    <n v="3365"/>
    <x v="133"/>
    <x v="2"/>
    <d v="2024-07-09T00:00:00"/>
    <x v="1"/>
    <n v="10"/>
    <x v="0"/>
    <s v="No"/>
    <s v="-"/>
    <s v="Yes"/>
    <n v="20"/>
    <n v="10"/>
    <x v="2"/>
  </r>
  <r>
    <n v="3366"/>
    <x v="134"/>
    <x v="1"/>
    <d v="2024-07-10T00:00:00"/>
    <x v="0"/>
    <n v="5"/>
    <x v="0"/>
    <s v="No"/>
    <s v="-"/>
    <s v="No"/>
    <n v="0"/>
    <n v="0"/>
    <x v="1"/>
  </r>
  <r>
    <n v="3367"/>
    <x v="135"/>
    <x v="0"/>
    <d v="2024-07-11T00:00:00"/>
    <x v="1"/>
    <n v="15"/>
    <x v="2"/>
    <s v="Yes"/>
    <n v="30"/>
    <s v="Yes"/>
    <n v="20"/>
    <n v="7"/>
    <x v="12"/>
  </r>
  <r>
    <n v="3368"/>
    <x v="136"/>
    <x v="2"/>
    <d v="2024-07-12T00:00:00"/>
    <x v="0"/>
    <n v="10"/>
    <x v="1"/>
    <s v="No"/>
    <s v="-"/>
    <s v="Yes"/>
    <n v="20"/>
    <n v="10"/>
    <x v="2"/>
  </r>
  <r>
    <n v="3369"/>
    <x v="137"/>
    <x v="1"/>
    <d v="2024-07-13T00:00:00"/>
    <x v="1"/>
    <n v="5"/>
    <x v="2"/>
    <s v="No"/>
    <s v="-"/>
    <s v="No"/>
    <n v="0"/>
    <n v="1"/>
    <x v="4"/>
  </r>
  <r>
    <n v="3370"/>
    <x v="138"/>
    <x v="0"/>
    <d v="2024-07-14T00:00:00"/>
    <x v="0"/>
    <n v="15"/>
    <x v="0"/>
    <s v="Yes"/>
    <n v="30"/>
    <s v="Yes"/>
    <n v="20"/>
    <n v="15"/>
    <x v="14"/>
  </r>
  <r>
    <n v="3371"/>
    <x v="139"/>
    <x v="2"/>
    <d v="2024-07-15T00:00:00"/>
    <x v="1"/>
    <n v="10"/>
    <x v="0"/>
    <s v="No"/>
    <s v="-"/>
    <s v="Yes"/>
    <n v="20"/>
    <n v="5"/>
    <x v="13"/>
  </r>
  <r>
    <n v="3372"/>
    <x v="140"/>
    <x v="1"/>
    <d v="2024-07-16T00:00:00"/>
    <x v="0"/>
    <n v="5"/>
    <x v="1"/>
    <s v="No"/>
    <s v="-"/>
    <s v="No"/>
    <n v="0"/>
    <n v="0"/>
    <x v="1"/>
  </r>
  <r>
    <n v="3373"/>
    <x v="141"/>
    <x v="0"/>
    <d v="2024-07-17T00:00:00"/>
    <x v="1"/>
    <n v="15"/>
    <x v="2"/>
    <s v="Yes"/>
    <n v="30"/>
    <s v="Yes"/>
    <n v="20"/>
    <n v="20"/>
    <x v="8"/>
  </r>
  <r>
    <n v="3374"/>
    <x v="142"/>
    <x v="2"/>
    <d v="2024-07-18T00:00:00"/>
    <x v="0"/>
    <n v="10"/>
    <x v="2"/>
    <s v="No"/>
    <s v="-"/>
    <s v="Yes"/>
    <n v="20"/>
    <n v="12"/>
    <x v="10"/>
  </r>
  <r>
    <n v="3375"/>
    <x v="143"/>
    <x v="1"/>
    <d v="2024-07-19T00:00:00"/>
    <x v="1"/>
    <n v="5"/>
    <x v="0"/>
    <s v="No"/>
    <s v="-"/>
    <s v="No"/>
    <n v="0"/>
    <n v="2"/>
    <x v="11"/>
  </r>
  <r>
    <n v="3376"/>
    <x v="144"/>
    <x v="0"/>
    <d v="2024-07-20T00:00:00"/>
    <x v="0"/>
    <n v="15"/>
    <x v="1"/>
    <s v="Yes"/>
    <n v="30"/>
    <s v="Yes"/>
    <n v="20"/>
    <n v="5"/>
    <x v="0"/>
  </r>
  <r>
    <n v="3377"/>
    <x v="145"/>
    <x v="2"/>
    <d v="2024-07-21T00:00:00"/>
    <x v="1"/>
    <n v="10"/>
    <x v="0"/>
    <s v="No"/>
    <s v="-"/>
    <s v="Yes"/>
    <n v="20"/>
    <n v="10"/>
    <x v="2"/>
  </r>
  <r>
    <n v="3378"/>
    <x v="146"/>
    <x v="1"/>
    <d v="2024-07-22T00:00:00"/>
    <x v="0"/>
    <n v="5"/>
    <x v="2"/>
    <s v="No"/>
    <s v="-"/>
    <s v="No"/>
    <n v="0"/>
    <n v="0"/>
    <x v="1"/>
  </r>
  <r>
    <n v="3379"/>
    <x v="147"/>
    <x v="0"/>
    <d v="2024-07-23T00:00:00"/>
    <x v="1"/>
    <n v="15"/>
    <x v="0"/>
    <s v="Yes"/>
    <n v="30"/>
    <s v="Yes"/>
    <n v="20"/>
    <n v="3"/>
    <x v="3"/>
  </r>
  <r>
    <n v="3380"/>
    <x v="148"/>
    <x v="2"/>
    <d v="2024-07-24T00:00:00"/>
    <x v="0"/>
    <n v="10"/>
    <x v="1"/>
    <s v="No"/>
    <s v="-"/>
    <s v="Yes"/>
    <n v="20"/>
    <n v="15"/>
    <x v="7"/>
  </r>
  <r>
    <n v="3381"/>
    <x v="149"/>
    <x v="1"/>
    <d v="2024-07-25T00:00:00"/>
    <x v="1"/>
    <n v="5"/>
    <x v="0"/>
    <s v="No"/>
    <s v="-"/>
    <s v="No"/>
    <n v="0"/>
    <n v="1"/>
    <x v="4"/>
  </r>
  <r>
    <n v="3382"/>
    <x v="150"/>
    <x v="0"/>
    <d v="2024-07-26T00:00:00"/>
    <x v="0"/>
    <n v="15"/>
    <x v="2"/>
    <s v="Yes"/>
    <n v="30"/>
    <s v="Yes"/>
    <n v="20"/>
    <n v="7"/>
    <x v="12"/>
  </r>
  <r>
    <n v="3383"/>
    <x v="151"/>
    <x v="2"/>
    <d v="2024-07-27T00:00:00"/>
    <x v="1"/>
    <n v="10"/>
    <x v="0"/>
    <s v="No"/>
    <s v="-"/>
    <s v="Yes"/>
    <n v="20"/>
    <n v="10"/>
    <x v="2"/>
  </r>
  <r>
    <n v="3384"/>
    <x v="152"/>
    <x v="1"/>
    <d v="2024-07-28T00:00:00"/>
    <x v="0"/>
    <n v="5"/>
    <x v="1"/>
    <s v="No"/>
    <s v="-"/>
    <s v="No"/>
    <n v="0"/>
    <n v="0"/>
    <x v="1"/>
  </r>
  <r>
    <n v="3385"/>
    <x v="153"/>
    <x v="0"/>
    <d v="2024-07-29T00:00:00"/>
    <x v="1"/>
    <n v="15"/>
    <x v="0"/>
    <s v="Yes"/>
    <n v="30"/>
    <s v="Yes"/>
    <n v="20"/>
    <n v="20"/>
    <x v="8"/>
  </r>
  <r>
    <n v="3386"/>
    <x v="154"/>
    <x v="2"/>
    <d v="2024-07-30T00:00:00"/>
    <x v="0"/>
    <n v="10"/>
    <x v="2"/>
    <s v="No"/>
    <s v="-"/>
    <s v="Yes"/>
    <n v="20"/>
    <n v="15"/>
    <x v="7"/>
  </r>
  <r>
    <n v="3387"/>
    <x v="155"/>
    <x v="1"/>
    <d v="2024-07-31T00:00:00"/>
    <x v="1"/>
    <n v="5"/>
    <x v="0"/>
    <s v="No"/>
    <s v="-"/>
    <s v="No"/>
    <n v="0"/>
    <n v="1"/>
    <x v="4"/>
  </r>
  <r>
    <n v="3388"/>
    <x v="156"/>
    <x v="0"/>
    <d v="2024-08-01T00:00:00"/>
    <x v="0"/>
    <n v="15"/>
    <x v="1"/>
    <s v="Yes"/>
    <n v="30"/>
    <s v="Yes"/>
    <n v="20"/>
    <n v="3"/>
    <x v="3"/>
  </r>
  <r>
    <n v="3389"/>
    <x v="157"/>
    <x v="2"/>
    <d v="2024-08-02T00:00:00"/>
    <x v="1"/>
    <n v="10"/>
    <x v="0"/>
    <s v="No"/>
    <s v="-"/>
    <s v="Yes"/>
    <n v="20"/>
    <n v="10"/>
    <x v="2"/>
  </r>
  <r>
    <n v="3390"/>
    <x v="158"/>
    <x v="1"/>
    <d v="2024-08-03T00:00:00"/>
    <x v="0"/>
    <n v="5"/>
    <x v="2"/>
    <s v="No"/>
    <s v="-"/>
    <s v="No"/>
    <n v="0"/>
    <n v="0"/>
    <x v="1"/>
  </r>
  <r>
    <n v="3391"/>
    <x v="58"/>
    <x v="0"/>
    <d v="2024-08-04T00:00:00"/>
    <x v="1"/>
    <n v="15"/>
    <x v="0"/>
    <s v="Yes"/>
    <n v="30"/>
    <s v="Yes"/>
    <n v="20"/>
    <n v="15"/>
    <x v="14"/>
  </r>
  <r>
    <n v="3392"/>
    <x v="159"/>
    <x v="2"/>
    <d v="2024-08-05T00:00:00"/>
    <x v="0"/>
    <n v="10"/>
    <x v="1"/>
    <s v="No"/>
    <s v="-"/>
    <s v="Yes"/>
    <n v="20"/>
    <n v="15"/>
    <x v="7"/>
  </r>
  <r>
    <n v="3393"/>
    <x v="160"/>
    <x v="1"/>
    <d v="2024-08-06T00:00:00"/>
    <x v="1"/>
    <n v="5"/>
    <x v="0"/>
    <s v="No"/>
    <s v="-"/>
    <s v="No"/>
    <n v="0"/>
    <n v="1"/>
    <x v="4"/>
  </r>
  <r>
    <n v="3394"/>
    <x v="161"/>
    <x v="0"/>
    <d v="2024-08-07T00:00:00"/>
    <x v="0"/>
    <n v="15"/>
    <x v="2"/>
    <s v="Yes"/>
    <n v="30"/>
    <s v="Yes"/>
    <n v="20"/>
    <n v="7"/>
    <x v="12"/>
  </r>
  <r>
    <n v="3395"/>
    <x v="162"/>
    <x v="2"/>
    <d v="2024-08-08T00:00:00"/>
    <x v="1"/>
    <n v="10"/>
    <x v="0"/>
    <s v="No"/>
    <s v="-"/>
    <s v="Yes"/>
    <n v="20"/>
    <n v="10"/>
    <x v="2"/>
  </r>
  <r>
    <n v="3396"/>
    <x v="163"/>
    <x v="1"/>
    <d v="2024-08-09T00:00:00"/>
    <x v="0"/>
    <n v="5"/>
    <x v="1"/>
    <s v="No"/>
    <s v="-"/>
    <s v="No"/>
    <n v="0"/>
    <n v="0"/>
    <x v="1"/>
  </r>
  <r>
    <n v="3397"/>
    <x v="90"/>
    <x v="0"/>
    <d v="2024-08-10T00:00:00"/>
    <x v="1"/>
    <n v="15"/>
    <x v="0"/>
    <s v="Yes"/>
    <n v="30"/>
    <s v="Yes"/>
    <n v="20"/>
    <n v="20"/>
    <x v="8"/>
  </r>
  <r>
    <n v="3398"/>
    <x v="164"/>
    <x v="2"/>
    <d v="2024-08-11T00:00:00"/>
    <x v="0"/>
    <n v="10"/>
    <x v="2"/>
    <s v="No"/>
    <s v="-"/>
    <s v="Yes"/>
    <n v="20"/>
    <n v="15"/>
    <x v="7"/>
  </r>
  <r>
    <n v="3399"/>
    <x v="165"/>
    <x v="1"/>
    <d v="2024-08-12T00:00:00"/>
    <x v="1"/>
    <n v="5"/>
    <x v="0"/>
    <s v="No"/>
    <s v="-"/>
    <s v="No"/>
    <n v="0"/>
    <n v="1"/>
    <x v="4"/>
  </r>
  <r>
    <n v="3400"/>
    <x v="166"/>
    <x v="0"/>
    <d v="2024-08-13T00:00:00"/>
    <x v="0"/>
    <n v="15"/>
    <x v="1"/>
    <s v="Yes"/>
    <n v="30"/>
    <s v="Yes"/>
    <n v="20"/>
    <n v="5"/>
    <x v="0"/>
  </r>
  <r>
    <n v="3401"/>
    <x v="167"/>
    <x v="2"/>
    <d v="2024-08-14T00:00:00"/>
    <x v="1"/>
    <n v="10"/>
    <x v="0"/>
    <s v="No"/>
    <s v="-"/>
    <s v="Yes"/>
    <n v="20"/>
    <n v="10"/>
    <x v="2"/>
  </r>
  <r>
    <n v="3402"/>
    <x v="168"/>
    <x v="1"/>
    <d v="2024-08-15T00:00:00"/>
    <x v="0"/>
    <n v="5"/>
    <x v="2"/>
    <s v="No"/>
    <s v="-"/>
    <s v="No"/>
    <n v="0"/>
    <n v="0"/>
    <x v="1"/>
  </r>
  <r>
    <n v="3403"/>
    <x v="169"/>
    <x v="0"/>
    <d v="2024-08-16T00:00:00"/>
    <x v="1"/>
    <n v="15"/>
    <x v="0"/>
    <s v="Yes"/>
    <n v="30"/>
    <s v="Yes"/>
    <n v="20"/>
    <n v="3"/>
    <x v="3"/>
  </r>
  <r>
    <n v="3404"/>
    <x v="170"/>
    <x v="2"/>
    <d v="2024-08-17T00:00:00"/>
    <x v="0"/>
    <n v="10"/>
    <x v="1"/>
    <s v="No"/>
    <s v="-"/>
    <s v="Yes"/>
    <n v="20"/>
    <n v="15"/>
    <x v="7"/>
  </r>
  <r>
    <n v="3405"/>
    <x v="171"/>
    <x v="1"/>
    <d v="2024-08-18T00:00:00"/>
    <x v="1"/>
    <n v="5"/>
    <x v="0"/>
    <s v="No"/>
    <s v="-"/>
    <s v="No"/>
    <n v="0"/>
    <n v="1"/>
    <x v="4"/>
  </r>
  <r>
    <n v="3406"/>
    <x v="172"/>
    <x v="1"/>
    <d v="2024-08-19T00:00:00"/>
    <x v="0"/>
    <n v="5"/>
    <x v="0"/>
    <s v="No"/>
    <s v="-"/>
    <s v="No"/>
    <n v="0"/>
    <n v="0"/>
    <x v="1"/>
  </r>
  <r>
    <n v="3407"/>
    <x v="173"/>
    <x v="0"/>
    <d v="2024-08-20T00:00:00"/>
    <x v="1"/>
    <n v="15"/>
    <x v="2"/>
    <s v="Yes"/>
    <n v="30"/>
    <s v="Yes"/>
    <n v="20"/>
    <n v="7"/>
    <x v="12"/>
  </r>
  <r>
    <n v="3408"/>
    <x v="174"/>
    <x v="2"/>
    <d v="2024-08-21T00:00:00"/>
    <x v="0"/>
    <n v="10"/>
    <x v="1"/>
    <s v="No"/>
    <s v="-"/>
    <s v="Yes"/>
    <n v="20"/>
    <n v="10"/>
    <x v="2"/>
  </r>
  <r>
    <n v="3409"/>
    <x v="175"/>
    <x v="1"/>
    <d v="2024-08-22T00:00:00"/>
    <x v="1"/>
    <n v="5"/>
    <x v="2"/>
    <s v="No"/>
    <s v="-"/>
    <s v="No"/>
    <n v="0"/>
    <n v="1"/>
    <x v="4"/>
  </r>
  <r>
    <n v="3410"/>
    <x v="176"/>
    <x v="0"/>
    <d v="2024-08-23T00:00:00"/>
    <x v="0"/>
    <n v="15"/>
    <x v="0"/>
    <s v="Yes"/>
    <n v="30"/>
    <s v="Yes"/>
    <n v="20"/>
    <n v="15"/>
    <x v="14"/>
  </r>
  <r>
    <n v="3411"/>
    <x v="177"/>
    <x v="2"/>
    <d v="2024-08-24T00:00:00"/>
    <x v="1"/>
    <n v="10"/>
    <x v="0"/>
    <s v="No"/>
    <s v="-"/>
    <s v="Yes"/>
    <n v="20"/>
    <n v="5"/>
    <x v="13"/>
  </r>
  <r>
    <n v="3412"/>
    <x v="178"/>
    <x v="1"/>
    <d v="2024-08-25T00:00:00"/>
    <x v="0"/>
    <n v="5"/>
    <x v="1"/>
    <s v="No"/>
    <s v="-"/>
    <s v="No"/>
    <n v="0"/>
    <n v="0"/>
    <x v="1"/>
  </r>
  <r>
    <n v="3413"/>
    <x v="179"/>
    <x v="0"/>
    <d v="2024-08-26T00:00:00"/>
    <x v="1"/>
    <n v="15"/>
    <x v="2"/>
    <s v="Yes"/>
    <n v="30"/>
    <s v="Yes"/>
    <n v="20"/>
    <n v="20"/>
    <x v="8"/>
  </r>
  <r>
    <n v="3414"/>
    <x v="180"/>
    <x v="2"/>
    <d v="2024-08-27T00:00:00"/>
    <x v="0"/>
    <n v="10"/>
    <x v="2"/>
    <s v="No"/>
    <s v="-"/>
    <s v="Yes"/>
    <n v="20"/>
    <n v="12"/>
    <x v="10"/>
  </r>
  <r>
    <n v="3415"/>
    <x v="181"/>
    <x v="1"/>
    <d v="2024-08-28T00:00:00"/>
    <x v="1"/>
    <n v="5"/>
    <x v="0"/>
    <s v="No"/>
    <s v="-"/>
    <s v="No"/>
    <n v="0"/>
    <n v="2"/>
    <x v="11"/>
  </r>
  <r>
    <n v="3416"/>
    <x v="182"/>
    <x v="0"/>
    <d v="2024-08-29T00:00:00"/>
    <x v="0"/>
    <n v="15"/>
    <x v="1"/>
    <s v="Yes"/>
    <n v="30"/>
    <s v="Yes"/>
    <n v="20"/>
    <n v="5"/>
    <x v="0"/>
  </r>
  <r>
    <n v="3417"/>
    <x v="183"/>
    <x v="2"/>
    <d v="2024-08-30T00:00:00"/>
    <x v="1"/>
    <n v="10"/>
    <x v="0"/>
    <s v="No"/>
    <s v="-"/>
    <s v="Yes"/>
    <n v="20"/>
    <n v="10"/>
    <x v="2"/>
  </r>
  <r>
    <n v="3418"/>
    <x v="184"/>
    <x v="1"/>
    <d v="2024-08-31T00:00:00"/>
    <x v="0"/>
    <n v="5"/>
    <x v="2"/>
    <s v="No"/>
    <s v="-"/>
    <s v="No"/>
    <n v="0"/>
    <n v="0"/>
    <x v="1"/>
  </r>
  <r>
    <n v="3419"/>
    <x v="185"/>
    <x v="0"/>
    <d v="2024-09-01T00:00:00"/>
    <x v="1"/>
    <n v="15"/>
    <x v="0"/>
    <s v="Yes"/>
    <n v="30"/>
    <s v="Yes"/>
    <n v="20"/>
    <n v="3"/>
    <x v="3"/>
  </r>
  <r>
    <n v="3420"/>
    <x v="186"/>
    <x v="2"/>
    <d v="2024-09-02T00:00:00"/>
    <x v="0"/>
    <n v="10"/>
    <x v="1"/>
    <s v="No"/>
    <s v="-"/>
    <s v="Yes"/>
    <n v="20"/>
    <n v="15"/>
    <x v="7"/>
  </r>
  <r>
    <n v="3421"/>
    <x v="15"/>
    <x v="1"/>
    <d v="2024-09-03T00:00:00"/>
    <x v="1"/>
    <n v="5"/>
    <x v="0"/>
    <s v="No"/>
    <s v="-"/>
    <s v="No"/>
    <n v="0"/>
    <n v="1"/>
    <x v="4"/>
  </r>
  <r>
    <n v="3422"/>
    <x v="187"/>
    <x v="0"/>
    <d v="2024-09-04T00:00:00"/>
    <x v="0"/>
    <n v="15"/>
    <x v="2"/>
    <s v="Yes"/>
    <n v="30"/>
    <s v="Yes"/>
    <n v="20"/>
    <n v="7"/>
    <x v="12"/>
  </r>
  <r>
    <n v="3423"/>
    <x v="188"/>
    <x v="2"/>
    <d v="2024-09-05T00:00:00"/>
    <x v="1"/>
    <n v="10"/>
    <x v="0"/>
    <s v="No"/>
    <s v="-"/>
    <s v="Yes"/>
    <n v="20"/>
    <n v="10"/>
    <x v="2"/>
  </r>
  <r>
    <n v="3424"/>
    <x v="14"/>
    <x v="1"/>
    <d v="2024-09-06T00:00:00"/>
    <x v="0"/>
    <n v="5"/>
    <x v="1"/>
    <s v="No"/>
    <s v="-"/>
    <s v="No"/>
    <n v="0"/>
    <n v="0"/>
    <x v="1"/>
  </r>
  <r>
    <n v="3425"/>
    <x v="189"/>
    <x v="0"/>
    <d v="2024-09-07T00:00:00"/>
    <x v="1"/>
    <n v="15"/>
    <x v="0"/>
    <s v="Yes"/>
    <n v="30"/>
    <s v="Yes"/>
    <n v="20"/>
    <n v="20"/>
    <x v="8"/>
  </r>
  <r>
    <n v="3426"/>
    <x v="167"/>
    <x v="2"/>
    <d v="2024-09-08T00:00:00"/>
    <x v="0"/>
    <n v="10"/>
    <x v="2"/>
    <s v="No"/>
    <s v="-"/>
    <s v="Yes"/>
    <n v="20"/>
    <n v="15"/>
    <x v="7"/>
  </r>
  <r>
    <n v="3427"/>
    <x v="190"/>
    <x v="1"/>
    <d v="2024-09-09T00:00:00"/>
    <x v="1"/>
    <n v="5"/>
    <x v="0"/>
    <s v="No"/>
    <s v="-"/>
    <s v="No"/>
    <n v="0"/>
    <n v="1"/>
    <x v="4"/>
  </r>
  <r>
    <n v="3428"/>
    <x v="191"/>
    <x v="0"/>
    <d v="2024-09-10T00:00:00"/>
    <x v="0"/>
    <n v="15"/>
    <x v="1"/>
    <s v="Yes"/>
    <n v="30"/>
    <s v="Yes"/>
    <n v="20"/>
    <n v="3"/>
    <x v="3"/>
  </r>
  <r>
    <n v="3429"/>
    <x v="192"/>
    <x v="2"/>
    <d v="2024-09-11T00:00:00"/>
    <x v="1"/>
    <n v="10"/>
    <x v="0"/>
    <s v="No"/>
    <s v="-"/>
    <s v="Yes"/>
    <n v="20"/>
    <n v="10"/>
    <x v="2"/>
  </r>
  <r>
    <n v="3430"/>
    <x v="193"/>
    <x v="1"/>
    <d v="2024-09-12T00:00:00"/>
    <x v="0"/>
    <n v="5"/>
    <x v="2"/>
    <s v="No"/>
    <s v="-"/>
    <s v="No"/>
    <n v="0"/>
    <n v="0"/>
    <x v="1"/>
  </r>
  <r>
    <n v="3431"/>
    <x v="194"/>
    <x v="0"/>
    <d v="2024-09-13T00:00:00"/>
    <x v="1"/>
    <n v="15"/>
    <x v="0"/>
    <s v="Yes"/>
    <n v="30"/>
    <s v="Yes"/>
    <n v="20"/>
    <n v="15"/>
    <x v="14"/>
  </r>
  <r>
    <n v="3432"/>
    <x v="195"/>
    <x v="2"/>
    <d v="2024-09-14T00:00:00"/>
    <x v="0"/>
    <n v="10"/>
    <x v="1"/>
    <s v="No"/>
    <s v="-"/>
    <s v="Yes"/>
    <n v="20"/>
    <n v="15"/>
    <x v="7"/>
  </r>
  <r>
    <n v="3433"/>
    <x v="196"/>
    <x v="1"/>
    <d v="2024-09-15T00:00:00"/>
    <x v="1"/>
    <n v="5"/>
    <x v="0"/>
    <s v="No"/>
    <s v="-"/>
    <s v="No"/>
    <n v="0"/>
    <n v="1"/>
    <x v="4"/>
  </r>
  <r>
    <n v="3434"/>
    <x v="197"/>
    <x v="0"/>
    <d v="2024-09-16T00:00:00"/>
    <x v="0"/>
    <n v="15"/>
    <x v="2"/>
    <s v="Yes"/>
    <n v="30"/>
    <s v="Yes"/>
    <n v="20"/>
    <n v="7"/>
    <x v="12"/>
  </r>
  <r>
    <n v="3435"/>
    <x v="198"/>
    <x v="2"/>
    <d v="2024-09-17T00:00:00"/>
    <x v="1"/>
    <n v="10"/>
    <x v="0"/>
    <s v="No"/>
    <s v="-"/>
    <s v="Yes"/>
    <n v="20"/>
    <n v="10"/>
    <x v="2"/>
  </r>
  <r>
    <n v="3436"/>
    <x v="199"/>
    <x v="1"/>
    <d v="2024-09-18T00:00:00"/>
    <x v="0"/>
    <n v="5"/>
    <x v="0"/>
    <s v="No"/>
    <s v="-"/>
    <s v="No"/>
    <n v="0"/>
    <n v="0"/>
    <x v="1"/>
  </r>
  <r>
    <n v="3437"/>
    <x v="200"/>
    <x v="0"/>
    <d v="2024-09-19T00:00:00"/>
    <x v="1"/>
    <n v="15"/>
    <x v="2"/>
    <s v="Yes"/>
    <n v="30"/>
    <s v="Yes"/>
    <n v="20"/>
    <n v="7"/>
    <x v="12"/>
  </r>
  <r>
    <n v="3438"/>
    <x v="201"/>
    <x v="2"/>
    <d v="2024-09-20T00:00:00"/>
    <x v="0"/>
    <n v="10"/>
    <x v="1"/>
    <s v="No"/>
    <s v="-"/>
    <s v="Yes"/>
    <n v="20"/>
    <n v="10"/>
    <x v="2"/>
  </r>
  <r>
    <n v="3439"/>
    <x v="202"/>
    <x v="1"/>
    <d v="2024-09-21T00:00:00"/>
    <x v="1"/>
    <n v="5"/>
    <x v="2"/>
    <s v="No"/>
    <s v="-"/>
    <s v="No"/>
    <n v="0"/>
    <n v="1"/>
    <x v="4"/>
  </r>
  <r>
    <n v="3440"/>
    <x v="203"/>
    <x v="0"/>
    <d v="2024-09-22T00:00:00"/>
    <x v="0"/>
    <n v="15"/>
    <x v="0"/>
    <s v="Yes"/>
    <n v="30"/>
    <s v="Yes"/>
    <n v="20"/>
    <n v="15"/>
    <x v="14"/>
  </r>
  <r>
    <n v="3441"/>
    <x v="204"/>
    <x v="2"/>
    <d v="2024-09-23T00:00:00"/>
    <x v="1"/>
    <n v="10"/>
    <x v="0"/>
    <s v="No"/>
    <s v="-"/>
    <s v="Yes"/>
    <n v="20"/>
    <n v="5"/>
    <x v="13"/>
  </r>
  <r>
    <n v="3442"/>
    <x v="205"/>
    <x v="1"/>
    <d v="2024-09-24T00:00:00"/>
    <x v="0"/>
    <n v="5"/>
    <x v="1"/>
    <s v="No"/>
    <s v="-"/>
    <s v="No"/>
    <n v="0"/>
    <n v="0"/>
    <x v="1"/>
  </r>
  <r>
    <n v="3443"/>
    <x v="206"/>
    <x v="0"/>
    <d v="2024-09-25T00:00:00"/>
    <x v="1"/>
    <n v="15"/>
    <x v="2"/>
    <s v="Yes"/>
    <n v="30"/>
    <s v="Yes"/>
    <n v="20"/>
    <n v="20"/>
    <x v="8"/>
  </r>
  <r>
    <n v="3444"/>
    <x v="207"/>
    <x v="2"/>
    <d v="2024-09-26T00:00:00"/>
    <x v="0"/>
    <n v="10"/>
    <x v="2"/>
    <s v="No"/>
    <s v="-"/>
    <s v="Yes"/>
    <n v="20"/>
    <n v="12"/>
    <x v="10"/>
  </r>
  <r>
    <n v="3445"/>
    <x v="37"/>
    <x v="1"/>
    <d v="2024-09-27T00:00:00"/>
    <x v="1"/>
    <n v="5"/>
    <x v="0"/>
    <s v="No"/>
    <s v="-"/>
    <s v="No"/>
    <n v="0"/>
    <n v="2"/>
    <x v="11"/>
  </r>
  <r>
    <n v="3446"/>
    <x v="208"/>
    <x v="0"/>
    <d v="2024-09-28T00:00:00"/>
    <x v="0"/>
    <n v="15"/>
    <x v="1"/>
    <s v="Yes"/>
    <n v="30"/>
    <s v="Yes"/>
    <n v="20"/>
    <n v="5"/>
    <x v="0"/>
  </r>
  <r>
    <n v="3447"/>
    <x v="209"/>
    <x v="2"/>
    <d v="2024-09-29T00:00:00"/>
    <x v="1"/>
    <n v="10"/>
    <x v="0"/>
    <s v="No"/>
    <s v="-"/>
    <s v="Yes"/>
    <n v="20"/>
    <n v="10"/>
    <x v="2"/>
  </r>
  <r>
    <n v="3448"/>
    <x v="210"/>
    <x v="1"/>
    <d v="2024-09-30T00:00:00"/>
    <x v="0"/>
    <n v="5"/>
    <x v="2"/>
    <s v="No"/>
    <s v="-"/>
    <s v="No"/>
    <n v="0"/>
    <n v="0"/>
    <x v="1"/>
  </r>
  <r>
    <n v="3449"/>
    <x v="211"/>
    <x v="0"/>
    <d v="2024-10-01T00:00:00"/>
    <x v="1"/>
    <n v="15"/>
    <x v="0"/>
    <s v="Yes"/>
    <n v="30"/>
    <s v="Yes"/>
    <n v="20"/>
    <n v="3"/>
    <x v="3"/>
  </r>
  <r>
    <n v="3450"/>
    <x v="212"/>
    <x v="2"/>
    <d v="2024-10-02T00:00:00"/>
    <x v="0"/>
    <n v="10"/>
    <x v="1"/>
    <s v="No"/>
    <s v="-"/>
    <s v="Yes"/>
    <n v="20"/>
    <n v="15"/>
    <x v="7"/>
  </r>
  <r>
    <n v="3451"/>
    <x v="213"/>
    <x v="1"/>
    <d v="2024-10-03T00:00:00"/>
    <x v="1"/>
    <n v="5"/>
    <x v="0"/>
    <s v="No"/>
    <s v="-"/>
    <s v="No"/>
    <n v="0"/>
    <n v="1"/>
    <x v="4"/>
  </r>
  <r>
    <n v="3452"/>
    <x v="191"/>
    <x v="0"/>
    <d v="2024-10-04T00:00:00"/>
    <x v="0"/>
    <n v="15"/>
    <x v="2"/>
    <s v="Yes"/>
    <n v="30"/>
    <s v="Yes"/>
    <n v="20"/>
    <n v="7"/>
    <x v="12"/>
  </r>
  <r>
    <n v="3453"/>
    <x v="45"/>
    <x v="2"/>
    <d v="2024-10-05T00:00:00"/>
    <x v="1"/>
    <n v="10"/>
    <x v="0"/>
    <s v="No"/>
    <s v="-"/>
    <s v="Yes"/>
    <n v="20"/>
    <n v="10"/>
    <x v="2"/>
  </r>
  <r>
    <n v="3454"/>
    <x v="214"/>
    <x v="1"/>
    <d v="2024-10-06T00:00:00"/>
    <x v="0"/>
    <n v="5"/>
    <x v="1"/>
    <s v="No"/>
    <s v="-"/>
    <s v="No"/>
    <n v="0"/>
    <n v="0"/>
    <x v="1"/>
  </r>
  <r>
    <n v="3455"/>
    <x v="215"/>
    <x v="0"/>
    <d v="2024-10-07T00:00:00"/>
    <x v="1"/>
    <n v="15"/>
    <x v="0"/>
    <s v="Yes"/>
    <n v="30"/>
    <s v="Yes"/>
    <n v="20"/>
    <n v="20"/>
    <x v="8"/>
  </r>
  <r>
    <n v="3456"/>
    <x v="216"/>
    <x v="2"/>
    <d v="2024-10-08T00:00:00"/>
    <x v="0"/>
    <n v="10"/>
    <x v="2"/>
    <s v="No"/>
    <s v="-"/>
    <s v="Yes"/>
    <n v="20"/>
    <n v="15"/>
    <x v="7"/>
  </r>
  <r>
    <n v="3457"/>
    <x v="217"/>
    <x v="1"/>
    <d v="2024-10-09T00:00:00"/>
    <x v="1"/>
    <n v="5"/>
    <x v="0"/>
    <s v="No"/>
    <s v="-"/>
    <s v="No"/>
    <n v="0"/>
    <n v="1"/>
    <x v="4"/>
  </r>
  <r>
    <n v="3458"/>
    <x v="218"/>
    <x v="0"/>
    <d v="2024-10-10T00:00:00"/>
    <x v="0"/>
    <n v="15"/>
    <x v="1"/>
    <s v="Yes"/>
    <n v="30"/>
    <s v="Yes"/>
    <n v="20"/>
    <n v="3"/>
    <x v="3"/>
  </r>
  <r>
    <n v="3459"/>
    <x v="219"/>
    <x v="2"/>
    <d v="2024-10-11T00:00:00"/>
    <x v="1"/>
    <n v="10"/>
    <x v="0"/>
    <s v="No"/>
    <s v="-"/>
    <s v="Yes"/>
    <n v="20"/>
    <n v="10"/>
    <x v="2"/>
  </r>
  <r>
    <n v="3460"/>
    <x v="127"/>
    <x v="1"/>
    <d v="2024-10-12T00:00:00"/>
    <x v="0"/>
    <n v="5"/>
    <x v="2"/>
    <s v="No"/>
    <s v="-"/>
    <s v="No"/>
    <n v="0"/>
    <n v="0"/>
    <x v="1"/>
  </r>
  <r>
    <n v="3461"/>
    <x v="220"/>
    <x v="0"/>
    <d v="2024-10-13T00:00:00"/>
    <x v="1"/>
    <n v="15"/>
    <x v="0"/>
    <s v="Yes"/>
    <n v="30"/>
    <s v="Yes"/>
    <n v="20"/>
    <n v="15"/>
    <x v="14"/>
  </r>
  <r>
    <n v="3462"/>
    <x v="221"/>
    <x v="2"/>
    <d v="2024-10-14T00:00:00"/>
    <x v="0"/>
    <n v="10"/>
    <x v="1"/>
    <s v="No"/>
    <s v="-"/>
    <s v="Yes"/>
    <n v="20"/>
    <n v="15"/>
    <x v="7"/>
  </r>
  <r>
    <n v="3463"/>
    <x v="222"/>
    <x v="1"/>
    <d v="2024-10-15T00:00:00"/>
    <x v="1"/>
    <n v="5"/>
    <x v="0"/>
    <s v="No"/>
    <s v="-"/>
    <s v="No"/>
    <n v="0"/>
    <n v="1"/>
    <x v="4"/>
  </r>
  <r>
    <n v="3464"/>
    <x v="223"/>
    <x v="0"/>
    <d v="2024-10-16T00:00:00"/>
    <x v="0"/>
    <n v="15"/>
    <x v="2"/>
    <s v="Yes"/>
    <n v="30"/>
    <s v="Yes"/>
    <n v="20"/>
    <n v="7"/>
    <x v="12"/>
  </r>
  <r>
    <n v="3465"/>
    <x v="224"/>
    <x v="2"/>
    <d v="2024-10-17T00:00:00"/>
    <x v="1"/>
    <n v="10"/>
    <x v="0"/>
    <s v="No"/>
    <s v="-"/>
    <s v="Yes"/>
    <n v="20"/>
    <n v="10"/>
    <x v="2"/>
  </r>
  <r>
    <n v="3466"/>
    <x v="225"/>
    <x v="1"/>
    <d v="2024-10-18T00:00:00"/>
    <x v="0"/>
    <n v="5"/>
    <x v="1"/>
    <s v="No"/>
    <s v="-"/>
    <s v="No"/>
    <n v="0"/>
    <n v="0"/>
    <x v="1"/>
  </r>
  <r>
    <n v="3467"/>
    <x v="226"/>
    <x v="0"/>
    <d v="2024-10-19T00:00:00"/>
    <x v="1"/>
    <n v="15"/>
    <x v="0"/>
    <s v="Yes"/>
    <n v="30"/>
    <s v="Yes"/>
    <n v="20"/>
    <n v="15"/>
    <x v="14"/>
  </r>
  <r>
    <n v="3468"/>
    <x v="227"/>
    <x v="2"/>
    <d v="2024-10-20T00:00:00"/>
    <x v="0"/>
    <n v="10"/>
    <x v="2"/>
    <s v="No"/>
    <s v="-"/>
    <s v="Yes"/>
    <n v="20"/>
    <n v="12"/>
    <x v="10"/>
  </r>
  <r>
    <n v="3469"/>
    <x v="228"/>
    <x v="1"/>
    <d v="2024-10-21T00:00:00"/>
    <x v="1"/>
    <n v="5"/>
    <x v="0"/>
    <s v="No"/>
    <s v="-"/>
    <s v="No"/>
    <n v="0"/>
    <n v="2"/>
    <x v="11"/>
  </r>
  <r>
    <n v="3470"/>
    <x v="229"/>
    <x v="0"/>
    <d v="2024-10-22T00:00:00"/>
    <x v="0"/>
    <n v="15"/>
    <x v="1"/>
    <s v="Yes"/>
    <n v="30"/>
    <s v="Yes"/>
    <n v="20"/>
    <n v="5"/>
    <x v="0"/>
  </r>
  <r>
    <n v="3471"/>
    <x v="230"/>
    <x v="2"/>
    <d v="2024-10-23T00:00:00"/>
    <x v="1"/>
    <n v="10"/>
    <x v="0"/>
    <s v="No"/>
    <s v="-"/>
    <s v="Yes"/>
    <n v="20"/>
    <n v="10"/>
    <x v="2"/>
  </r>
  <r>
    <n v="3472"/>
    <x v="231"/>
    <x v="1"/>
    <d v="2024-10-24T00:00:00"/>
    <x v="0"/>
    <n v="5"/>
    <x v="2"/>
    <s v="No"/>
    <s v="-"/>
    <s v="No"/>
    <n v="0"/>
    <n v="0"/>
    <x v="1"/>
  </r>
  <r>
    <n v="3473"/>
    <x v="140"/>
    <x v="0"/>
    <d v="2024-10-25T00:00:00"/>
    <x v="1"/>
    <n v="15"/>
    <x v="0"/>
    <s v="Yes"/>
    <n v="30"/>
    <s v="Yes"/>
    <n v="20"/>
    <n v="3"/>
    <x v="3"/>
  </r>
  <r>
    <n v="3474"/>
    <x v="232"/>
    <x v="2"/>
    <d v="2024-10-26T00:00:00"/>
    <x v="0"/>
    <n v="10"/>
    <x v="1"/>
    <s v="No"/>
    <s v="-"/>
    <s v="Yes"/>
    <n v="20"/>
    <n v="15"/>
    <x v="7"/>
  </r>
  <r>
    <n v="3475"/>
    <x v="233"/>
    <x v="1"/>
    <d v="2024-10-27T00:00:00"/>
    <x v="1"/>
    <n v="5"/>
    <x v="0"/>
    <s v="No"/>
    <s v="-"/>
    <s v="No"/>
    <n v="0"/>
    <n v="1"/>
    <x v="4"/>
  </r>
  <r>
    <n v="3476"/>
    <x v="234"/>
    <x v="0"/>
    <d v="2024-10-28T00:00:00"/>
    <x v="0"/>
    <n v="15"/>
    <x v="2"/>
    <s v="Yes"/>
    <n v="30"/>
    <s v="Yes"/>
    <n v="20"/>
    <n v="7"/>
    <x v="12"/>
  </r>
  <r>
    <n v="3477"/>
    <x v="235"/>
    <x v="2"/>
    <d v="2024-10-29T00:00:00"/>
    <x v="1"/>
    <n v="10"/>
    <x v="0"/>
    <s v="No"/>
    <s v="-"/>
    <s v="Yes"/>
    <n v="20"/>
    <n v="10"/>
    <x v="2"/>
  </r>
  <r>
    <n v="3478"/>
    <x v="236"/>
    <x v="1"/>
    <d v="2024-10-30T00:00:00"/>
    <x v="0"/>
    <n v="5"/>
    <x v="1"/>
    <s v="No"/>
    <s v="-"/>
    <s v="No"/>
    <n v="0"/>
    <n v="0"/>
    <x v="1"/>
  </r>
  <r>
    <n v="3479"/>
    <x v="237"/>
    <x v="0"/>
    <d v="2024-10-31T00:00:00"/>
    <x v="1"/>
    <n v="15"/>
    <x v="0"/>
    <s v="Yes"/>
    <n v="30"/>
    <s v="Yes"/>
    <n v="20"/>
    <n v="20"/>
    <x v="8"/>
  </r>
  <r>
    <n v="3480"/>
    <x v="238"/>
    <x v="2"/>
    <d v="2024-11-01T00:00:00"/>
    <x v="0"/>
    <n v="10"/>
    <x v="2"/>
    <s v="No"/>
    <s v="-"/>
    <s v="Yes"/>
    <n v="20"/>
    <n v="15"/>
    <x v="7"/>
  </r>
  <r>
    <n v="3481"/>
    <x v="239"/>
    <x v="1"/>
    <d v="2024-11-02T00:00:00"/>
    <x v="1"/>
    <n v="5"/>
    <x v="0"/>
    <s v="No"/>
    <s v="-"/>
    <s v="No"/>
    <n v="0"/>
    <n v="1"/>
    <x v="4"/>
  </r>
  <r>
    <n v="3482"/>
    <x v="240"/>
    <x v="0"/>
    <d v="2024-11-03T00:00:00"/>
    <x v="0"/>
    <n v="15"/>
    <x v="1"/>
    <s v="Yes"/>
    <n v="30"/>
    <s v="Yes"/>
    <n v="20"/>
    <n v="3"/>
    <x v="3"/>
  </r>
  <r>
    <n v="3483"/>
    <x v="241"/>
    <x v="2"/>
    <d v="2024-11-04T00:00:00"/>
    <x v="1"/>
    <n v="10"/>
    <x v="0"/>
    <s v="No"/>
    <s v="-"/>
    <s v="Yes"/>
    <n v="20"/>
    <n v="10"/>
    <x v="2"/>
  </r>
  <r>
    <n v="3484"/>
    <x v="242"/>
    <x v="1"/>
    <d v="2024-11-05T00:00:00"/>
    <x v="0"/>
    <n v="5"/>
    <x v="2"/>
    <s v="No"/>
    <s v="-"/>
    <s v="No"/>
    <n v="0"/>
    <n v="0"/>
    <x v="1"/>
  </r>
  <r>
    <n v="3485"/>
    <x v="243"/>
    <x v="0"/>
    <d v="2024-11-06T00:00:00"/>
    <x v="1"/>
    <n v="15"/>
    <x v="0"/>
    <s v="Yes"/>
    <n v="30"/>
    <s v="Yes"/>
    <n v="20"/>
    <n v="15"/>
    <x v="14"/>
  </r>
  <r>
    <n v="3486"/>
    <x v="244"/>
    <x v="1"/>
    <d v="2024-11-07T00:00:00"/>
    <x v="0"/>
    <n v="5"/>
    <x v="0"/>
    <s v="No"/>
    <s v="-"/>
    <s v="No"/>
    <n v="0"/>
    <n v="0"/>
    <x v="1"/>
  </r>
  <r>
    <n v="3487"/>
    <x v="245"/>
    <x v="0"/>
    <d v="2024-11-08T00:00:00"/>
    <x v="1"/>
    <n v="15"/>
    <x v="2"/>
    <s v="Yes"/>
    <n v="30"/>
    <s v="Yes"/>
    <n v="20"/>
    <n v="7"/>
    <x v="12"/>
  </r>
  <r>
    <n v="3488"/>
    <x v="246"/>
    <x v="2"/>
    <d v="2024-11-09T00:00:00"/>
    <x v="0"/>
    <n v="10"/>
    <x v="1"/>
    <s v="No"/>
    <s v="-"/>
    <s v="Yes"/>
    <n v="20"/>
    <n v="10"/>
    <x v="2"/>
  </r>
  <r>
    <n v="3489"/>
    <x v="247"/>
    <x v="1"/>
    <d v="2024-11-10T00:00:00"/>
    <x v="1"/>
    <n v="5"/>
    <x v="2"/>
    <s v="No"/>
    <s v="-"/>
    <s v="No"/>
    <n v="0"/>
    <n v="1"/>
    <x v="4"/>
  </r>
  <r>
    <n v="3490"/>
    <x v="248"/>
    <x v="0"/>
    <d v="2024-11-11T00:00:00"/>
    <x v="0"/>
    <n v="15"/>
    <x v="0"/>
    <s v="Yes"/>
    <n v="30"/>
    <s v="Yes"/>
    <n v="20"/>
    <n v="15"/>
    <x v="14"/>
  </r>
  <r>
    <n v="3491"/>
    <x v="249"/>
    <x v="2"/>
    <d v="2024-11-12T00:00:00"/>
    <x v="1"/>
    <n v="10"/>
    <x v="0"/>
    <s v="No"/>
    <s v="-"/>
    <s v="Yes"/>
    <n v="20"/>
    <n v="5"/>
    <x v="13"/>
  </r>
  <r>
    <n v="3492"/>
    <x v="250"/>
    <x v="1"/>
    <d v="2024-11-13T00:00:00"/>
    <x v="0"/>
    <n v="5"/>
    <x v="1"/>
    <s v="No"/>
    <s v="-"/>
    <s v="No"/>
    <n v="0"/>
    <n v="0"/>
    <x v="1"/>
  </r>
  <r>
    <n v="3493"/>
    <x v="251"/>
    <x v="0"/>
    <d v="2024-11-14T00:00:00"/>
    <x v="1"/>
    <n v="15"/>
    <x v="2"/>
    <s v="Yes"/>
    <n v="30"/>
    <s v="Yes"/>
    <n v="20"/>
    <n v="20"/>
    <x v="8"/>
  </r>
  <r>
    <n v="3494"/>
    <x v="252"/>
    <x v="2"/>
    <d v="2024-11-15T00:00:00"/>
    <x v="0"/>
    <n v="10"/>
    <x v="2"/>
    <s v="No"/>
    <s v="-"/>
    <s v="Yes"/>
    <n v="20"/>
    <n v="12"/>
    <x v="10"/>
  </r>
  <r>
    <n v="3495"/>
    <x v="253"/>
    <x v="1"/>
    <d v="2024-11-16T00:00:00"/>
    <x v="1"/>
    <n v="5"/>
    <x v="0"/>
    <s v="No"/>
    <s v="-"/>
    <s v="No"/>
    <n v="0"/>
    <n v="2"/>
    <x v="11"/>
  </r>
  <r>
    <n v="3496"/>
    <x v="254"/>
    <x v="0"/>
    <d v="2024-11-17T00:00:00"/>
    <x v="0"/>
    <n v="15"/>
    <x v="1"/>
    <s v="Yes"/>
    <n v="30"/>
    <s v="Yes"/>
    <n v="20"/>
    <n v="5"/>
    <x v="0"/>
  </r>
  <r>
    <n v="3497"/>
    <x v="255"/>
    <x v="2"/>
    <d v="2024-11-18T00:00:00"/>
    <x v="1"/>
    <n v="10"/>
    <x v="0"/>
    <s v="No"/>
    <s v="-"/>
    <s v="Yes"/>
    <n v="20"/>
    <n v="10"/>
    <x v="2"/>
  </r>
  <r>
    <n v="3498"/>
    <x v="256"/>
    <x v="1"/>
    <d v="2024-11-19T00:00:00"/>
    <x v="0"/>
    <n v="5"/>
    <x v="2"/>
    <s v="No"/>
    <s v="-"/>
    <s v="No"/>
    <n v="0"/>
    <n v="0"/>
    <x v="1"/>
  </r>
  <r>
    <n v="3499"/>
    <x v="257"/>
    <x v="0"/>
    <d v="2024-11-20T00:00:00"/>
    <x v="1"/>
    <n v="15"/>
    <x v="0"/>
    <s v="Yes"/>
    <n v="30"/>
    <s v="Yes"/>
    <n v="20"/>
    <n v="3"/>
    <x v="3"/>
  </r>
  <r>
    <n v="3500"/>
    <x v="258"/>
    <x v="2"/>
    <d v="2024-11-21T00:00:00"/>
    <x v="0"/>
    <n v="10"/>
    <x v="1"/>
    <s v="No"/>
    <s v="-"/>
    <s v="Yes"/>
    <n v="20"/>
    <n v="15"/>
    <x v="7"/>
  </r>
  <r>
    <n v="3501"/>
    <x v="259"/>
    <x v="1"/>
    <d v="2024-11-22T00:00:00"/>
    <x v="1"/>
    <n v="5"/>
    <x v="0"/>
    <s v="No"/>
    <s v="-"/>
    <s v="No"/>
    <n v="0"/>
    <n v="1"/>
    <x v="4"/>
  </r>
  <r>
    <n v="3502"/>
    <x v="260"/>
    <x v="0"/>
    <d v="2024-11-23T00:00:00"/>
    <x v="0"/>
    <n v="15"/>
    <x v="2"/>
    <s v="Yes"/>
    <n v="30"/>
    <s v="Yes"/>
    <n v="20"/>
    <n v="7"/>
    <x v="12"/>
  </r>
  <r>
    <n v="3503"/>
    <x v="119"/>
    <x v="2"/>
    <d v="2024-11-24T00:00:00"/>
    <x v="1"/>
    <n v="10"/>
    <x v="0"/>
    <s v="No"/>
    <s v="-"/>
    <s v="Yes"/>
    <n v="20"/>
    <n v="10"/>
    <x v="2"/>
  </r>
  <r>
    <n v="3504"/>
    <x v="261"/>
    <x v="1"/>
    <d v="2024-11-25T00:00:00"/>
    <x v="0"/>
    <n v="5"/>
    <x v="1"/>
    <s v="No"/>
    <s v="-"/>
    <s v="No"/>
    <n v="0"/>
    <n v="0"/>
    <x v="1"/>
  </r>
  <r>
    <n v="3505"/>
    <x v="262"/>
    <x v="0"/>
    <d v="2024-11-26T00:00:00"/>
    <x v="1"/>
    <n v="15"/>
    <x v="0"/>
    <s v="Yes"/>
    <n v="30"/>
    <s v="Yes"/>
    <n v="20"/>
    <n v="20"/>
    <x v="8"/>
  </r>
  <r>
    <n v="3506"/>
    <x v="263"/>
    <x v="2"/>
    <d v="2024-11-27T00:00:00"/>
    <x v="0"/>
    <n v="10"/>
    <x v="2"/>
    <s v="No"/>
    <s v="-"/>
    <s v="Yes"/>
    <n v="20"/>
    <n v="15"/>
    <x v="7"/>
  </r>
  <r>
    <n v="3507"/>
    <x v="264"/>
    <x v="1"/>
    <d v="2024-11-28T00:00:00"/>
    <x v="1"/>
    <n v="5"/>
    <x v="0"/>
    <s v="No"/>
    <s v="-"/>
    <s v="No"/>
    <n v="0"/>
    <n v="1"/>
    <x v="4"/>
  </r>
  <r>
    <n v="3508"/>
    <x v="265"/>
    <x v="0"/>
    <d v="2024-11-29T00:00:00"/>
    <x v="0"/>
    <n v="15"/>
    <x v="1"/>
    <s v="Yes"/>
    <n v="30"/>
    <s v="Yes"/>
    <n v="20"/>
    <n v="3"/>
    <x v="3"/>
  </r>
  <r>
    <n v="3509"/>
    <x v="266"/>
    <x v="2"/>
    <d v="2024-11-30T00:00:00"/>
    <x v="1"/>
    <n v="10"/>
    <x v="0"/>
    <s v="No"/>
    <s v="-"/>
    <s v="Yes"/>
    <n v="20"/>
    <n v="10"/>
    <x v="2"/>
  </r>
  <r>
    <n v="3510"/>
    <x v="267"/>
    <x v="1"/>
    <d v="2024-12-01T00:00:00"/>
    <x v="0"/>
    <n v="5"/>
    <x v="2"/>
    <s v="No"/>
    <s v="-"/>
    <s v="No"/>
    <n v="0"/>
    <n v="0"/>
    <x v="1"/>
  </r>
  <r>
    <n v="3511"/>
    <x v="268"/>
    <x v="0"/>
    <d v="2024-12-02T00:00:00"/>
    <x v="1"/>
    <n v="15"/>
    <x v="0"/>
    <s v="Yes"/>
    <n v="30"/>
    <s v="Yes"/>
    <n v="20"/>
    <n v="15"/>
    <x v="14"/>
  </r>
  <r>
    <n v="3512"/>
    <x v="269"/>
    <x v="2"/>
    <d v="2024-12-03T00:00:00"/>
    <x v="0"/>
    <n v="10"/>
    <x v="1"/>
    <s v="No"/>
    <s v="-"/>
    <s v="Yes"/>
    <n v="20"/>
    <n v="15"/>
    <x v="7"/>
  </r>
  <r>
    <n v="3513"/>
    <x v="270"/>
    <x v="1"/>
    <d v="2024-12-04T00:00:00"/>
    <x v="1"/>
    <n v="5"/>
    <x v="0"/>
    <s v="No"/>
    <s v="-"/>
    <s v="No"/>
    <n v="0"/>
    <n v="1"/>
    <x v="4"/>
  </r>
  <r>
    <n v="3514"/>
    <x v="271"/>
    <x v="0"/>
    <d v="2024-12-05T00:00:00"/>
    <x v="0"/>
    <n v="15"/>
    <x v="2"/>
    <s v="Yes"/>
    <n v="30"/>
    <s v="Yes"/>
    <n v="20"/>
    <n v="7"/>
    <x v="12"/>
  </r>
  <r>
    <n v="3515"/>
    <x v="130"/>
    <x v="2"/>
    <d v="2024-12-06T00:00:00"/>
    <x v="1"/>
    <n v="10"/>
    <x v="0"/>
    <s v="No"/>
    <s v="-"/>
    <s v="Yes"/>
    <n v="20"/>
    <n v="10"/>
    <x v="2"/>
  </r>
  <r>
    <n v="3516"/>
    <x v="131"/>
    <x v="1"/>
    <d v="2024-12-07T00:00:00"/>
    <x v="0"/>
    <n v="5"/>
    <x v="1"/>
    <s v="No"/>
    <s v="-"/>
    <s v="No"/>
    <n v="0"/>
    <n v="0"/>
    <x v="1"/>
  </r>
  <r>
    <n v="3517"/>
    <x v="181"/>
    <x v="0"/>
    <d v="2024-12-08T00:00:00"/>
    <x v="1"/>
    <n v="15"/>
    <x v="0"/>
    <s v="Yes"/>
    <n v="30"/>
    <s v="Yes"/>
    <n v="20"/>
    <n v="20"/>
    <x v="8"/>
  </r>
  <r>
    <n v="3518"/>
    <x v="272"/>
    <x v="2"/>
    <d v="2024-12-09T00:00:00"/>
    <x v="0"/>
    <n v="10"/>
    <x v="2"/>
    <s v="No"/>
    <s v="-"/>
    <s v="Yes"/>
    <n v="20"/>
    <n v="12"/>
    <x v="10"/>
  </r>
  <r>
    <n v="3519"/>
    <x v="273"/>
    <x v="1"/>
    <d v="2024-12-10T00:00:00"/>
    <x v="1"/>
    <n v="5"/>
    <x v="0"/>
    <s v="No"/>
    <s v="-"/>
    <s v="No"/>
    <n v="0"/>
    <n v="2"/>
    <x v="11"/>
  </r>
  <r>
    <n v="3520"/>
    <x v="274"/>
    <x v="0"/>
    <d v="2024-12-11T00:00:00"/>
    <x v="0"/>
    <n v="15"/>
    <x v="1"/>
    <s v="Yes"/>
    <n v="30"/>
    <s v="Yes"/>
    <n v="20"/>
    <n v="5"/>
    <x v="0"/>
  </r>
  <r>
    <n v="3521"/>
    <x v="275"/>
    <x v="2"/>
    <d v="2024-12-12T00:00:00"/>
    <x v="1"/>
    <n v="10"/>
    <x v="0"/>
    <s v="No"/>
    <s v="-"/>
    <s v="Yes"/>
    <n v="20"/>
    <n v="10"/>
    <x v="2"/>
  </r>
  <r>
    <n v="3522"/>
    <x v="276"/>
    <x v="1"/>
    <d v="2024-12-13T00:00:00"/>
    <x v="0"/>
    <n v="5"/>
    <x v="2"/>
    <s v="No"/>
    <s v="-"/>
    <s v="No"/>
    <n v="0"/>
    <n v="0"/>
    <x v="1"/>
  </r>
  <r>
    <n v="3523"/>
    <x v="277"/>
    <x v="0"/>
    <d v="2024-12-14T00:00:00"/>
    <x v="1"/>
    <n v="15"/>
    <x v="0"/>
    <s v="Yes"/>
    <n v="30"/>
    <s v="Yes"/>
    <n v="20"/>
    <n v="3"/>
    <x v="3"/>
  </r>
  <r>
    <n v="3524"/>
    <x v="278"/>
    <x v="2"/>
    <d v="2024-12-15T00:00:00"/>
    <x v="0"/>
    <n v="10"/>
    <x v="1"/>
    <s v="No"/>
    <s v="-"/>
    <s v="Yes"/>
    <n v="20"/>
    <n v="15"/>
    <x v="7"/>
  </r>
  <r>
    <n v="3525"/>
    <x v="279"/>
    <x v="1"/>
    <d v="2024-12-16T00:00:00"/>
    <x v="1"/>
    <n v="5"/>
    <x v="0"/>
    <s v="No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9DBB2-FAE1-480D-87C6-5682E560978E}" name="TBL_Minecraft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30:C3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1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6845E-CD18-4379-9114-33812FAF8CB0}" name="Tbl_EA_Pas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B3D8C-7FA0-41FA-B834-59F4F502A6E7}" name="Tbl_Annual_Total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1" baseItem="30" numFmtId="164"/>
  </dataField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B35A9C0-3B0A-4F65-AEAF-5000E276550C}" sourceName="Subscription Type">
  <pivotTables>
    <pivotTable tabId="3" name="Tbl_Annual_Total"/>
    <pivotTable tabId="3" name="Tbl_EA_Pass"/>
    <pivotTable tabId="3" name="TBL_Minecraft"/>
  </pivotTables>
  <data>
    <tabular pivotCacheId="65678350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1C0E6EE-74F3-4C0F-8602-6811E9407A2F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2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27"/>
    <tableColumn id="2" xr3:uid="{53DD39D0-2220-4121-9E9D-4EAA7E151C0F}" name="Name" dataDxfId="26"/>
    <tableColumn id="3" xr3:uid="{4F5FF271-4C57-4BE0-8F2C-F82C8551625C}" name="Plan" dataDxfId="25"/>
    <tableColumn id="4" xr3:uid="{8C17EB93-79B9-4E55-B8F7-BEB82F8253E9}" name="Start Date" dataDxfId="24"/>
    <tableColumn id="5" xr3:uid="{48CEDF9B-1689-482A-A828-5CCE7713264A}" name="Auto Renewal" dataDxfId="23"/>
    <tableColumn id="6" xr3:uid="{78B82374-9AA7-4E38-AE4F-78CDE6C83720}" name="Subscription Price" dataDxfId="22" dataCellStyle="Moeda"/>
    <tableColumn id="7" xr3:uid="{F2433F68-AF33-49D0-B1FB-19A396074EDE}" name="Subscription Type" dataDxfId="21"/>
    <tableColumn id="8" xr3:uid="{FD4D9C95-F6E5-4933-9068-A71FF7DF9343}" name="EA Play Season Pass" dataDxfId="20"/>
    <tableColumn id="13" xr3:uid="{978DD0D2-834E-4CE4-A39B-30976086932F}" name="EA Play Season Pass_x000a_Price" dataDxfId="19" dataCellStyle="Moeda"/>
    <tableColumn id="9" xr3:uid="{6E29F111-C395-4580-9DAD-3407D9E8B1A4}" name="Minecraft Season Pass" dataDxfId="18"/>
    <tableColumn id="10" xr3:uid="{EF544EAA-7F25-4FD5-A10E-8E62804DB9E3}" name="Minecraft Season Pass Price" dataDxfId="17" dataCellStyle="Moeda"/>
    <tableColumn id="11" xr3:uid="{7F6EB64A-1F07-4E48-9F0F-AC7D9DCD26F8}" name="Coupon Value" dataDxfId="16" dataCellStyle="Moeda"/>
    <tableColumn id="12" xr3:uid="{2B04ABC8-DE6F-426E-ADC0-D8AFC68CA58E}" name="Total Value" dataDxfId="1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33" sqref="E3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33" sqref="E3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4"/>
  <sheetViews>
    <sheetView showGridLines="0" topLeftCell="A10" workbookViewId="0">
      <selection activeCell="E33" sqref="E33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3" x14ac:dyDescent="0.3">
      <c r="B2" t="s">
        <v>313</v>
      </c>
    </row>
    <row r="3" spans="2:3" x14ac:dyDescent="0.3">
      <c r="B3" t="s">
        <v>317</v>
      </c>
    </row>
    <row r="7" spans="2:3" x14ac:dyDescent="0.3">
      <c r="B7" s="12" t="s">
        <v>16</v>
      </c>
      <c r="C7" t="s">
        <v>24</v>
      </c>
    </row>
    <row r="9" spans="2:3" x14ac:dyDescent="0.3">
      <c r="B9" s="12" t="s">
        <v>314</v>
      </c>
      <c r="C9" t="s">
        <v>316</v>
      </c>
    </row>
    <row r="10" spans="2:3" x14ac:dyDescent="0.3">
      <c r="B10" s="13" t="s">
        <v>23</v>
      </c>
      <c r="C10" s="14">
        <v>217</v>
      </c>
    </row>
    <row r="11" spans="2:3" x14ac:dyDescent="0.3">
      <c r="B11" s="13" t="s">
        <v>19</v>
      </c>
      <c r="C11" s="14">
        <v>1537</v>
      </c>
    </row>
    <row r="12" spans="2:3" x14ac:dyDescent="0.3">
      <c r="B12" s="13" t="s">
        <v>315</v>
      </c>
      <c r="C12" s="14">
        <v>1754</v>
      </c>
    </row>
    <row r="15" spans="2:3" x14ac:dyDescent="0.3">
      <c r="B15" s="13" t="s">
        <v>319</v>
      </c>
    </row>
    <row r="17" spans="2:6" x14ac:dyDescent="0.3">
      <c r="B17" s="12" t="s">
        <v>16</v>
      </c>
      <c r="C17" t="s">
        <v>24</v>
      </c>
    </row>
    <row r="18" spans="2:6" x14ac:dyDescent="0.3">
      <c r="F18" s="14">
        <f>GETPIVOTDATA("EA Play Season Pass
Price",$B$19)</f>
        <v>600</v>
      </c>
    </row>
    <row r="19" spans="2:6" x14ac:dyDescent="0.3">
      <c r="B19" s="12" t="s">
        <v>314</v>
      </c>
      <c r="C19" t="s">
        <v>320</v>
      </c>
    </row>
    <row r="20" spans="2:6" x14ac:dyDescent="0.3">
      <c r="B20" s="13" t="s">
        <v>22</v>
      </c>
      <c r="C20" s="14">
        <v>0</v>
      </c>
    </row>
    <row r="21" spans="2:6" x14ac:dyDescent="0.3">
      <c r="B21" s="13" t="s">
        <v>26</v>
      </c>
      <c r="C21" s="14">
        <v>0</v>
      </c>
    </row>
    <row r="22" spans="2:6" x14ac:dyDescent="0.3">
      <c r="B22" s="13" t="s">
        <v>18</v>
      </c>
      <c r="C22" s="14">
        <v>600</v>
      </c>
    </row>
    <row r="23" spans="2:6" x14ac:dyDescent="0.3">
      <c r="B23" s="13" t="s">
        <v>315</v>
      </c>
      <c r="C23" s="14">
        <v>600</v>
      </c>
    </row>
    <row r="26" spans="2:6" x14ac:dyDescent="0.3">
      <c r="B26" s="13" t="s">
        <v>322</v>
      </c>
    </row>
    <row r="28" spans="2:6" x14ac:dyDescent="0.3">
      <c r="B28" s="12" t="s">
        <v>16</v>
      </c>
      <c r="C28" t="s">
        <v>24</v>
      </c>
    </row>
    <row r="30" spans="2:6" x14ac:dyDescent="0.3">
      <c r="B30" s="12" t="s">
        <v>314</v>
      </c>
      <c r="C30" t="s">
        <v>321</v>
      </c>
    </row>
    <row r="31" spans="2:6" x14ac:dyDescent="0.3">
      <c r="B31" s="13" t="s">
        <v>23</v>
      </c>
      <c r="C31" s="17">
        <v>120</v>
      </c>
    </row>
    <row r="32" spans="2:6" x14ac:dyDescent="0.3">
      <c r="B32" s="13" t="s">
        <v>19</v>
      </c>
      <c r="C32" s="17">
        <v>820</v>
      </c>
    </row>
    <row r="33" spans="2:6" x14ac:dyDescent="0.3">
      <c r="B33" s="13" t="s">
        <v>315</v>
      </c>
      <c r="C33" s="18">
        <v>940</v>
      </c>
    </row>
    <row r="34" spans="2:6" x14ac:dyDescent="0.3">
      <c r="F34" s="19">
        <f>GETPIVOTDATA("Minecraft Season Pass Price",$B$30)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865"/>
  <sheetViews>
    <sheetView showGridLines="0" showRowColHeaders="0" tabSelected="1" zoomScale="85" zoomScaleNormal="85" workbookViewId="0">
      <selection activeCell="R24" sqref="R24"/>
    </sheetView>
  </sheetViews>
  <sheetFormatPr defaultRowHeight="14.4" x14ac:dyDescent="0.3"/>
  <cols>
    <col min="1" max="1" width="34.21875" style="15" customWidth="1"/>
    <col min="2" max="2" width="5.33203125" customWidth="1"/>
    <col min="12" max="12" width="6.5546875" customWidth="1"/>
  </cols>
  <sheetData>
    <row r="2" spans="1:19" ht="43.8" customHeight="1" thickBot="1" x14ac:dyDescent="0.8">
      <c r="C2" s="21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9" ht="43.8" customHeight="1" thickTop="1" x14ac:dyDescent="0.3">
      <c r="B3" s="22" t="s">
        <v>323</v>
      </c>
    </row>
    <row r="4" spans="1:19" s="7" customFormat="1" x14ac:dyDescent="0.3">
      <c r="A4" s="15"/>
    </row>
    <row r="5" spans="1:19" s="7" customFormat="1" x14ac:dyDescent="0.3">
      <c r="A5" s="15"/>
    </row>
    <row r="6" spans="1:19" s="7" customFormat="1" x14ac:dyDescent="0.3">
      <c r="A6" s="15"/>
    </row>
    <row r="7" spans="1:19" s="7" customFormat="1" x14ac:dyDescent="0.3">
      <c r="A7" s="15"/>
    </row>
    <row r="8" spans="1:19" s="7" customFormat="1" x14ac:dyDescent="0.3">
      <c r="A8" s="15"/>
    </row>
    <row r="9" spans="1:19" s="7" customFormat="1" x14ac:dyDescent="0.3">
      <c r="A9" s="15"/>
    </row>
    <row r="10" spans="1:19" s="7" customFormat="1" x14ac:dyDescent="0.3">
      <c r="A10" s="15"/>
    </row>
    <row r="11" spans="1:19" s="7" customFormat="1" x14ac:dyDescent="0.3">
      <c r="A11" s="15"/>
    </row>
    <row r="12" spans="1:19" s="7" customFormat="1" x14ac:dyDescent="0.3">
      <c r="A12" s="15"/>
      <c r="S12" s="20"/>
    </row>
    <row r="13" spans="1:19" s="7" customFormat="1" x14ac:dyDescent="0.3">
      <c r="A13" s="15"/>
    </row>
    <row r="14" spans="1:19" s="7" customFormat="1" x14ac:dyDescent="0.3">
      <c r="A14" s="15"/>
    </row>
    <row r="15" spans="1:19" s="7" customFormat="1" x14ac:dyDescent="0.3">
      <c r="A15" s="15"/>
    </row>
    <row r="16" spans="1:19" s="7" customFormat="1" x14ac:dyDescent="0.3">
      <c r="A16" s="15"/>
    </row>
    <row r="17" spans="1:1" s="7" customFormat="1" x14ac:dyDescent="0.3">
      <c r="A17" s="15"/>
    </row>
    <row r="18" spans="1:1" s="7" customFormat="1" x14ac:dyDescent="0.3">
      <c r="A18" s="15"/>
    </row>
    <row r="19" spans="1:1" s="7" customFormat="1" x14ac:dyDescent="0.3">
      <c r="A19" s="15"/>
    </row>
    <row r="20" spans="1:1" s="7" customFormat="1" x14ac:dyDescent="0.3">
      <c r="A20" s="15"/>
    </row>
    <row r="21" spans="1:1" s="7" customFormat="1" x14ac:dyDescent="0.3">
      <c r="A21" s="15"/>
    </row>
    <row r="22" spans="1:1" s="7" customFormat="1" x14ac:dyDescent="0.3">
      <c r="A22" s="15"/>
    </row>
    <row r="23" spans="1:1" s="7" customFormat="1" x14ac:dyDescent="0.3">
      <c r="A23" s="15"/>
    </row>
    <row r="24" spans="1:1" s="7" customFormat="1" x14ac:dyDescent="0.3">
      <c r="A24" s="15"/>
    </row>
    <row r="25" spans="1:1" s="7" customFormat="1" x14ac:dyDescent="0.3">
      <c r="A25" s="15"/>
    </row>
    <row r="26" spans="1:1" s="7" customFormat="1" x14ac:dyDescent="0.3">
      <c r="A26" s="15"/>
    </row>
    <row r="27" spans="1:1" s="7" customFormat="1" x14ac:dyDescent="0.3">
      <c r="A27" s="15"/>
    </row>
    <row r="28" spans="1:1" s="7" customFormat="1" x14ac:dyDescent="0.3">
      <c r="A28" s="15"/>
    </row>
    <row r="29" spans="1:1" s="7" customFormat="1" x14ac:dyDescent="0.3">
      <c r="A29" s="15"/>
    </row>
    <row r="30" spans="1:1" s="7" customFormat="1" x14ac:dyDescent="0.3">
      <c r="A30" s="15"/>
    </row>
    <row r="31" spans="1:1" s="7" customFormat="1" x14ac:dyDescent="0.3">
      <c r="A31" s="15"/>
    </row>
    <row r="32" spans="1:1" s="7" customFormat="1" x14ac:dyDescent="0.3">
      <c r="A32" s="15"/>
    </row>
    <row r="33" spans="1:1" s="7" customFormat="1" x14ac:dyDescent="0.3">
      <c r="A33" s="15"/>
    </row>
    <row r="34" spans="1:1" s="7" customFormat="1" x14ac:dyDescent="0.3">
      <c r="A34" s="15"/>
    </row>
    <row r="35" spans="1:1" s="7" customFormat="1" x14ac:dyDescent="0.3">
      <c r="A35" s="15"/>
    </row>
    <row r="36" spans="1:1" s="7" customFormat="1" x14ac:dyDescent="0.3">
      <c r="A36" s="15"/>
    </row>
    <row r="37" spans="1:1" s="7" customFormat="1" x14ac:dyDescent="0.3">
      <c r="A37" s="15"/>
    </row>
    <row r="38" spans="1:1" s="7" customFormat="1" x14ac:dyDescent="0.3">
      <c r="A38" s="15"/>
    </row>
    <row r="39" spans="1:1" s="7" customFormat="1" x14ac:dyDescent="0.3">
      <c r="A39" s="15"/>
    </row>
    <row r="40" spans="1:1" s="7" customFormat="1" x14ac:dyDescent="0.3">
      <c r="A40" s="15"/>
    </row>
    <row r="41" spans="1:1" s="7" customFormat="1" x14ac:dyDescent="0.3">
      <c r="A41" s="15"/>
    </row>
    <row r="42" spans="1:1" s="7" customFormat="1" x14ac:dyDescent="0.3"/>
    <row r="43" spans="1:1" s="7" customFormat="1" x14ac:dyDescent="0.3"/>
    <row r="44" spans="1:1" s="7" customFormat="1" x14ac:dyDescent="0.3"/>
    <row r="45" spans="1:1" s="7" customFormat="1" x14ac:dyDescent="0.3"/>
    <row r="46" spans="1:1" s="7" customFormat="1" x14ac:dyDescent="0.3"/>
    <row r="47" spans="1:1" s="7" customFormat="1" x14ac:dyDescent="0.3"/>
    <row r="48" spans="1:1" s="7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  <row r="56" s="7" customFormat="1" x14ac:dyDescent="0.3"/>
    <row r="57" s="7" customFormat="1" x14ac:dyDescent="0.3"/>
    <row r="58" s="7" customFormat="1" x14ac:dyDescent="0.3"/>
    <row r="59" s="7" customFormat="1" x14ac:dyDescent="0.3"/>
    <row r="60" s="7" customFormat="1" x14ac:dyDescent="0.3"/>
    <row r="61" s="7" customFormat="1" x14ac:dyDescent="0.3"/>
    <row r="62" s="7" customFormat="1" x14ac:dyDescent="0.3"/>
    <row r="63" s="7" customFormat="1" x14ac:dyDescent="0.3"/>
    <row r="64" s="7" customFormat="1" x14ac:dyDescent="0.3"/>
    <row r="65" s="7" customFormat="1" x14ac:dyDescent="0.3"/>
    <row r="66" s="7" customFormat="1" x14ac:dyDescent="0.3"/>
    <row r="67" s="7" customFormat="1" x14ac:dyDescent="0.3"/>
    <row r="68" s="7" customFormat="1" x14ac:dyDescent="0.3"/>
    <row r="69" s="7" customFormat="1" x14ac:dyDescent="0.3"/>
    <row r="70" s="7" customFormat="1" x14ac:dyDescent="0.3"/>
    <row r="71" s="7" customFormat="1" x14ac:dyDescent="0.3"/>
    <row r="72" s="7" customFormat="1" x14ac:dyDescent="0.3"/>
    <row r="73" s="7" customFormat="1" x14ac:dyDescent="0.3"/>
    <row r="74" s="7" customFormat="1" x14ac:dyDescent="0.3"/>
    <row r="75" s="7" customFormat="1" x14ac:dyDescent="0.3"/>
    <row r="76" s="7" customFormat="1" x14ac:dyDescent="0.3"/>
    <row r="77" s="7" customFormat="1" x14ac:dyDescent="0.3"/>
    <row r="78" s="7" customFormat="1" x14ac:dyDescent="0.3"/>
    <row r="79" s="7" customFormat="1" x14ac:dyDescent="0.3"/>
    <row r="80" s="7" customFormat="1" x14ac:dyDescent="0.3"/>
    <row r="81" s="7" customFormat="1" x14ac:dyDescent="0.3"/>
    <row r="82" s="7" customFormat="1" x14ac:dyDescent="0.3"/>
    <row r="83" s="7" customFormat="1" x14ac:dyDescent="0.3"/>
    <row r="84" s="7" customFormat="1" x14ac:dyDescent="0.3"/>
    <row r="85" s="7" customFormat="1" x14ac:dyDescent="0.3"/>
    <row r="86" s="7" customFormat="1" x14ac:dyDescent="0.3"/>
    <row r="87" s="7" customFormat="1" x14ac:dyDescent="0.3"/>
    <row r="88" s="7" customFormat="1" x14ac:dyDescent="0.3"/>
    <row r="89" s="7" customFormat="1" x14ac:dyDescent="0.3"/>
    <row r="90" s="7" customFormat="1" x14ac:dyDescent="0.3"/>
    <row r="91" s="7" customFormat="1" x14ac:dyDescent="0.3"/>
    <row r="92" s="7" customFormat="1" x14ac:dyDescent="0.3"/>
    <row r="93" s="7" customFormat="1" x14ac:dyDescent="0.3"/>
    <row r="94" s="7" customFormat="1" x14ac:dyDescent="0.3"/>
    <row r="95" s="7" customFormat="1" x14ac:dyDescent="0.3"/>
    <row r="96" s="7" customFormat="1" x14ac:dyDescent="0.3"/>
    <row r="97" s="7" customFormat="1" x14ac:dyDescent="0.3"/>
    <row r="98" s="7" customFormat="1" x14ac:dyDescent="0.3"/>
    <row r="99" s="7" customFormat="1" x14ac:dyDescent="0.3"/>
    <row r="100" s="7" customFormat="1" x14ac:dyDescent="0.3"/>
    <row r="101" s="7" customFormat="1" x14ac:dyDescent="0.3"/>
    <row r="102" s="7" customFormat="1" x14ac:dyDescent="0.3"/>
    <row r="103" s="7" customFormat="1" x14ac:dyDescent="0.3"/>
    <row r="104" s="7" customFormat="1" x14ac:dyDescent="0.3"/>
    <row r="105" s="7" customFormat="1" x14ac:dyDescent="0.3"/>
    <row r="106" s="7" customFormat="1" x14ac:dyDescent="0.3"/>
    <row r="107" s="7" customFormat="1" x14ac:dyDescent="0.3"/>
    <row r="108" s="7" customFormat="1" x14ac:dyDescent="0.3"/>
    <row r="109" s="7" customFormat="1" x14ac:dyDescent="0.3"/>
    <row r="110" s="7" customFormat="1" x14ac:dyDescent="0.3"/>
    <row r="111" s="7" customFormat="1" x14ac:dyDescent="0.3"/>
    <row r="112" s="7" customFormat="1" x14ac:dyDescent="0.3"/>
    <row r="113" s="7" customFormat="1" x14ac:dyDescent="0.3"/>
    <row r="114" s="7" customFormat="1" x14ac:dyDescent="0.3"/>
    <row r="115" s="7" customFormat="1" x14ac:dyDescent="0.3"/>
    <row r="116" s="7" customFormat="1" x14ac:dyDescent="0.3"/>
    <row r="117" s="7" customFormat="1" x14ac:dyDescent="0.3"/>
    <row r="118" s="7" customFormat="1" x14ac:dyDescent="0.3"/>
    <row r="119" s="7" customFormat="1" x14ac:dyDescent="0.3"/>
    <row r="120" s="7" customFormat="1" x14ac:dyDescent="0.3"/>
    <row r="121" s="7" customFormat="1" x14ac:dyDescent="0.3"/>
    <row r="122" s="7" customFormat="1" x14ac:dyDescent="0.3"/>
    <row r="123" s="7" customFormat="1" x14ac:dyDescent="0.3"/>
    <row r="124" s="7" customFormat="1" x14ac:dyDescent="0.3"/>
    <row r="125" s="7" customFormat="1" x14ac:dyDescent="0.3"/>
    <row r="126" s="7" customFormat="1" x14ac:dyDescent="0.3"/>
    <row r="127" s="7" customFormat="1" x14ac:dyDescent="0.3"/>
    <row r="128" s="7" customFormat="1" x14ac:dyDescent="0.3"/>
    <row r="129" s="7" customFormat="1" x14ac:dyDescent="0.3"/>
    <row r="130" s="7" customFormat="1" x14ac:dyDescent="0.3"/>
    <row r="131" s="7" customFormat="1" x14ac:dyDescent="0.3"/>
    <row r="132" s="7" customFormat="1" x14ac:dyDescent="0.3"/>
    <row r="133" s="7" customFormat="1" x14ac:dyDescent="0.3"/>
    <row r="134" s="7" customFormat="1" x14ac:dyDescent="0.3"/>
    <row r="135" s="7" customFormat="1" x14ac:dyDescent="0.3"/>
    <row r="136" s="7" customFormat="1" x14ac:dyDescent="0.3"/>
    <row r="137" s="7" customFormat="1" x14ac:dyDescent="0.3"/>
    <row r="138" s="7" customFormat="1" x14ac:dyDescent="0.3"/>
    <row r="139" s="7" customFormat="1" x14ac:dyDescent="0.3"/>
    <row r="140" s="7" customFormat="1" x14ac:dyDescent="0.3"/>
    <row r="141" s="7" customFormat="1" x14ac:dyDescent="0.3"/>
    <row r="142" s="7" customFormat="1" x14ac:dyDescent="0.3"/>
    <row r="143" s="7" customFormat="1" x14ac:dyDescent="0.3"/>
    <row r="144" s="7" customFormat="1" x14ac:dyDescent="0.3"/>
    <row r="145" s="7" customFormat="1" x14ac:dyDescent="0.3"/>
    <row r="146" s="7" customFormat="1" x14ac:dyDescent="0.3"/>
    <row r="147" s="7" customFormat="1" x14ac:dyDescent="0.3"/>
    <row r="148" s="7" customFormat="1" x14ac:dyDescent="0.3"/>
    <row r="149" s="7" customFormat="1" x14ac:dyDescent="0.3"/>
    <row r="150" s="7" customFormat="1" x14ac:dyDescent="0.3"/>
    <row r="151" s="7" customFormat="1" x14ac:dyDescent="0.3"/>
    <row r="152" s="7" customFormat="1" x14ac:dyDescent="0.3"/>
    <row r="153" s="7" customFormat="1" x14ac:dyDescent="0.3"/>
    <row r="154" s="7" customFormat="1" x14ac:dyDescent="0.3"/>
    <row r="155" s="7" customFormat="1" x14ac:dyDescent="0.3"/>
    <row r="156" s="7" customFormat="1" x14ac:dyDescent="0.3"/>
    <row r="157" s="7" customFormat="1" x14ac:dyDescent="0.3"/>
    <row r="158" s="7" customFormat="1" x14ac:dyDescent="0.3"/>
    <row r="159" s="7" customFormat="1" x14ac:dyDescent="0.3"/>
    <row r="160" s="7" customFormat="1" x14ac:dyDescent="0.3"/>
    <row r="161" s="7" customFormat="1" x14ac:dyDescent="0.3"/>
    <row r="162" s="7" customFormat="1" x14ac:dyDescent="0.3"/>
    <row r="163" s="7" customFormat="1" x14ac:dyDescent="0.3"/>
    <row r="164" s="7" customFormat="1" x14ac:dyDescent="0.3"/>
    <row r="165" s="7" customFormat="1" x14ac:dyDescent="0.3"/>
    <row r="166" s="7" customFormat="1" x14ac:dyDescent="0.3"/>
    <row r="167" s="7" customFormat="1" x14ac:dyDescent="0.3"/>
    <row r="168" s="7" customFormat="1" x14ac:dyDescent="0.3"/>
    <row r="169" s="7" customFormat="1" x14ac:dyDescent="0.3"/>
    <row r="170" s="7" customFormat="1" x14ac:dyDescent="0.3"/>
    <row r="171" s="7" customFormat="1" x14ac:dyDescent="0.3"/>
    <row r="172" s="7" customFormat="1" x14ac:dyDescent="0.3"/>
    <row r="173" s="7" customFormat="1" x14ac:dyDescent="0.3"/>
    <row r="174" s="7" customFormat="1" x14ac:dyDescent="0.3"/>
    <row r="175" s="7" customFormat="1" x14ac:dyDescent="0.3"/>
    <row r="176" s="7" customFormat="1" x14ac:dyDescent="0.3"/>
    <row r="177" s="7" customFormat="1" x14ac:dyDescent="0.3"/>
    <row r="178" s="7" customFormat="1" x14ac:dyDescent="0.3"/>
    <row r="179" s="7" customFormat="1" x14ac:dyDescent="0.3"/>
    <row r="180" s="7" customFormat="1" x14ac:dyDescent="0.3"/>
    <row r="181" s="7" customFormat="1" x14ac:dyDescent="0.3"/>
    <row r="182" s="7" customFormat="1" x14ac:dyDescent="0.3"/>
    <row r="183" s="7" customFormat="1" x14ac:dyDescent="0.3"/>
    <row r="184" s="7" customFormat="1" x14ac:dyDescent="0.3"/>
    <row r="185" s="7" customFormat="1" x14ac:dyDescent="0.3"/>
    <row r="186" s="7" customFormat="1" x14ac:dyDescent="0.3"/>
    <row r="187" s="7" customFormat="1" x14ac:dyDescent="0.3"/>
    <row r="188" s="7" customFormat="1" x14ac:dyDescent="0.3"/>
    <row r="189" s="7" customFormat="1" x14ac:dyDescent="0.3"/>
    <row r="190" s="7" customFormat="1" x14ac:dyDescent="0.3"/>
    <row r="191" s="7" customFormat="1" x14ac:dyDescent="0.3"/>
    <row r="192" s="7" customFormat="1" x14ac:dyDescent="0.3"/>
    <row r="193" s="7" customFormat="1" x14ac:dyDescent="0.3"/>
    <row r="194" s="7" customFormat="1" x14ac:dyDescent="0.3"/>
    <row r="195" s="7" customFormat="1" x14ac:dyDescent="0.3"/>
    <row r="196" s="7" customFormat="1" x14ac:dyDescent="0.3"/>
    <row r="197" s="7" customFormat="1" x14ac:dyDescent="0.3"/>
    <row r="198" s="7" customFormat="1" x14ac:dyDescent="0.3"/>
    <row r="199" s="7" customFormat="1" x14ac:dyDescent="0.3"/>
    <row r="200" s="7" customFormat="1" x14ac:dyDescent="0.3"/>
    <row r="201" s="7" customFormat="1" x14ac:dyDescent="0.3"/>
    <row r="202" s="7" customFormat="1" x14ac:dyDescent="0.3"/>
    <row r="203" s="7" customFormat="1" x14ac:dyDescent="0.3"/>
    <row r="204" s="7" customFormat="1" x14ac:dyDescent="0.3"/>
    <row r="205" s="7" customFormat="1" x14ac:dyDescent="0.3"/>
    <row r="206" s="7" customFormat="1" x14ac:dyDescent="0.3"/>
    <row r="207" s="7" customFormat="1" x14ac:dyDescent="0.3"/>
    <row r="208" s="7" customFormat="1" x14ac:dyDescent="0.3"/>
    <row r="209" s="7" customFormat="1" x14ac:dyDescent="0.3"/>
    <row r="210" s="7" customFormat="1" x14ac:dyDescent="0.3"/>
    <row r="211" s="7" customFormat="1" x14ac:dyDescent="0.3"/>
    <row r="212" s="7" customFormat="1" x14ac:dyDescent="0.3"/>
    <row r="213" s="7" customFormat="1" x14ac:dyDescent="0.3"/>
    <row r="214" s="7" customFormat="1" x14ac:dyDescent="0.3"/>
    <row r="215" s="7" customFormat="1" x14ac:dyDescent="0.3"/>
    <row r="216" s="7" customFormat="1" x14ac:dyDescent="0.3"/>
    <row r="217" s="7" customFormat="1" x14ac:dyDescent="0.3"/>
    <row r="218" s="7" customFormat="1" x14ac:dyDescent="0.3"/>
    <row r="219" s="7" customFormat="1" x14ac:dyDescent="0.3"/>
    <row r="220" s="7" customFormat="1" x14ac:dyDescent="0.3"/>
    <row r="221" s="7" customFormat="1" x14ac:dyDescent="0.3"/>
    <row r="222" s="7" customFormat="1" x14ac:dyDescent="0.3"/>
    <row r="223" s="7" customFormat="1" x14ac:dyDescent="0.3"/>
    <row r="224" s="7" customFormat="1" x14ac:dyDescent="0.3"/>
    <row r="225" s="7" customFormat="1" x14ac:dyDescent="0.3"/>
    <row r="226" s="7" customFormat="1" x14ac:dyDescent="0.3"/>
    <row r="227" s="7" customFormat="1" x14ac:dyDescent="0.3"/>
    <row r="228" s="7" customFormat="1" x14ac:dyDescent="0.3"/>
    <row r="229" s="7" customFormat="1" x14ac:dyDescent="0.3"/>
    <row r="230" s="7" customFormat="1" x14ac:dyDescent="0.3"/>
    <row r="231" s="7" customFormat="1" x14ac:dyDescent="0.3"/>
    <row r="232" s="7" customFormat="1" x14ac:dyDescent="0.3"/>
    <row r="233" s="7" customFormat="1" x14ac:dyDescent="0.3"/>
    <row r="234" s="7" customFormat="1" x14ac:dyDescent="0.3"/>
    <row r="235" s="7" customFormat="1" x14ac:dyDescent="0.3"/>
    <row r="236" s="7" customFormat="1" x14ac:dyDescent="0.3"/>
    <row r="237" s="7" customFormat="1" x14ac:dyDescent="0.3"/>
    <row r="238" s="7" customFormat="1" x14ac:dyDescent="0.3"/>
    <row r="239" s="7" customFormat="1" x14ac:dyDescent="0.3"/>
    <row r="240" s="7" customFormat="1" x14ac:dyDescent="0.3"/>
    <row r="241" s="7" customFormat="1" x14ac:dyDescent="0.3"/>
    <row r="242" s="7" customFormat="1" x14ac:dyDescent="0.3"/>
    <row r="243" s="7" customFormat="1" x14ac:dyDescent="0.3"/>
    <row r="244" s="7" customFormat="1" x14ac:dyDescent="0.3"/>
    <row r="245" s="7" customFormat="1" x14ac:dyDescent="0.3"/>
    <row r="246" s="7" customFormat="1" x14ac:dyDescent="0.3"/>
    <row r="247" s="7" customFormat="1" x14ac:dyDescent="0.3"/>
    <row r="248" s="7" customFormat="1" x14ac:dyDescent="0.3"/>
    <row r="249" s="7" customFormat="1" x14ac:dyDescent="0.3"/>
    <row r="250" s="7" customFormat="1" x14ac:dyDescent="0.3"/>
    <row r="251" s="7" customFormat="1" x14ac:dyDescent="0.3"/>
    <row r="252" s="7" customFormat="1" x14ac:dyDescent="0.3"/>
    <row r="253" s="7" customFormat="1" x14ac:dyDescent="0.3"/>
    <row r="254" s="7" customFormat="1" x14ac:dyDescent="0.3"/>
    <row r="255" s="7" customFormat="1" x14ac:dyDescent="0.3"/>
    <row r="256" s="7" customFormat="1" x14ac:dyDescent="0.3"/>
    <row r="257" s="7" customFormat="1" x14ac:dyDescent="0.3"/>
    <row r="258" s="7" customFormat="1" x14ac:dyDescent="0.3"/>
    <row r="259" s="7" customFormat="1" x14ac:dyDescent="0.3"/>
    <row r="260" s="7" customFormat="1" x14ac:dyDescent="0.3"/>
    <row r="261" s="7" customFormat="1" x14ac:dyDescent="0.3"/>
    <row r="262" s="7" customFormat="1" x14ac:dyDescent="0.3"/>
    <row r="263" s="7" customFormat="1" x14ac:dyDescent="0.3"/>
    <row r="264" s="7" customFormat="1" x14ac:dyDescent="0.3"/>
    <row r="265" s="7" customFormat="1" x14ac:dyDescent="0.3"/>
    <row r="266" s="7" customFormat="1" x14ac:dyDescent="0.3"/>
    <row r="267" s="7" customFormat="1" x14ac:dyDescent="0.3"/>
    <row r="268" s="7" customFormat="1" x14ac:dyDescent="0.3"/>
    <row r="269" s="7" customFormat="1" x14ac:dyDescent="0.3"/>
    <row r="270" s="7" customFormat="1" x14ac:dyDescent="0.3"/>
    <row r="271" s="7" customFormat="1" x14ac:dyDescent="0.3"/>
    <row r="272" s="7" customFormat="1" x14ac:dyDescent="0.3"/>
    <row r="273" s="7" customFormat="1" x14ac:dyDescent="0.3"/>
    <row r="274" s="7" customFormat="1" x14ac:dyDescent="0.3"/>
    <row r="275" s="7" customFormat="1" x14ac:dyDescent="0.3"/>
    <row r="276" s="7" customFormat="1" x14ac:dyDescent="0.3"/>
    <row r="277" s="7" customFormat="1" x14ac:dyDescent="0.3"/>
    <row r="278" s="7" customFormat="1" x14ac:dyDescent="0.3"/>
    <row r="279" s="7" customFormat="1" x14ac:dyDescent="0.3"/>
    <row r="280" s="7" customFormat="1" x14ac:dyDescent="0.3"/>
    <row r="281" s="7" customFormat="1" x14ac:dyDescent="0.3"/>
    <row r="282" s="7" customFormat="1" x14ac:dyDescent="0.3"/>
    <row r="283" s="7" customFormat="1" x14ac:dyDescent="0.3"/>
    <row r="284" s="7" customFormat="1" x14ac:dyDescent="0.3"/>
    <row r="285" s="7" customFormat="1" x14ac:dyDescent="0.3"/>
    <row r="286" s="7" customFormat="1" x14ac:dyDescent="0.3"/>
    <row r="287" s="7" customFormat="1" x14ac:dyDescent="0.3"/>
    <row r="288" s="7" customFormat="1" x14ac:dyDescent="0.3"/>
    <row r="289" s="7" customFormat="1" x14ac:dyDescent="0.3"/>
    <row r="290" s="7" customFormat="1" x14ac:dyDescent="0.3"/>
    <row r="291" s="7" customFormat="1" x14ac:dyDescent="0.3"/>
    <row r="292" s="7" customFormat="1" x14ac:dyDescent="0.3"/>
    <row r="293" s="7" customFormat="1" x14ac:dyDescent="0.3"/>
    <row r="294" s="7" customFormat="1" x14ac:dyDescent="0.3"/>
    <row r="295" s="7" customFormat="1" x14ac:dyDescent="0.3"/>
    <row r="296" s="7" customFormat="1" x14ac:dyDescent="0.3"/>
    <row r="297" s="7" customFormat="1" x14ac:dyDescent="0.3"/>
    <row r="298" s="7" customFormat="1" x14ac:dyDescent="0.3"/>
    <row r="299" s="7" customFormat="1" x14ac:dyDescent="0.3"/>
    <row r="300" s="7" customFormat="1" x14ac:dyDescent="0.3"/>
    <row r="301" s="7" customFormat="1" x14ac:dyDescent="0.3"/>
    <row r="302" s="7" customFormat="1" x14ac:dyDescent="0.3"/>
    <row r="303" s="7" customFormat="1" x14ac:dyDescent="0.3"/>
    <row r="304" s="7" customFormat="1" x14ac:dyDescent="0.3"/>
    <row r="305" s="7" customFormat="1" x14ac:dyDescent="0.3"/>
    <row r="306" s="7" customFormat="1" x14ac:dyDescent="0.3"/>
    <row r="307" s="7" customFormat="1" x14ac:dyDescent="0.3"/>
    <row r="308" s="7" customFormat="1" x14ac:dyDescent="0.3"/>
    <row r="309" s="7" customFormat="1" x14ac:dyDescent="0.3"/>
    <row r="310" s="7" customFormat="1" x14ac:dyDescent="0.3"/>
    <row r="311" s="7" customFormat="1" x14ac:dyDescent="0.3"/>
    <row r="312" s="7" customFormat="1" x14ac:dyDescent="0.3"/>
    <row r="313" s="7" customFormat="1" x14ac:dyDescent="0.3"/>
    <row r="314" s="7" customFormat="1" x14ac:dyDescent="0.3"/>
    <row r="315" s="7" customFormat="1" x14ac:dyDescent="0.3"/>
    <row r="316" s="7" customFormat="1" x14ac:dyDescent="0.3"/>
    <row r="317" s="7" customFormat="1" x14ac:dyDescent="0.3"/>
    <row r="318" s="7" customFormat="1" x14ac:dyDescent="0.3"/>
    <row r="319" s="7" customFormat="1" x14ac:dyDescent="0.3"/>
    <row r="320" s="7" customFormat="1" x14ac:dyDescent="0.3"/>
    <row r="321" s="7" customFormat="1" x14ac:dyDescent="0.3"/>
    <row r="322" s="7" customFormat="1" x14ac:dyDescent="0.3"/>
    <row r="323" s="7" customFormat="1" x14ac:dyDescent="0.3"/>
    <row r="324" s="7" customFormat="1" x14ac:dyDescent="0.3"/>
    <row r="325" s="7" customFormat="1" x14ac:dyDescent="0.3"/>
    <row r="326" s="7" customFormat="1" x14ac:dyDescent="0.3"/>
    <row r="327" s="7" customFormat="1" x14ac:dyDescent="0.3"/>
    <row r="328" s="7" customFormat="1" x14ac:dyDescent="0.3"/>
    <row r="329" s="7" customFormat="1" x14ac:dyDescent="0.3"/>
    <row r="330" s="7" customFormat="1" x14ac:dyDescent="0.3"/>
    <row r="331" s="7" customFormat="1" x14ac:dyDescent="0.3"/>
    <row r="332" s="7" customFormat="1" x14ac:dyDescent="0.3"/>
    <row r="333" s="7" customFormat="1" x14ac:dyDescent="0.3"/>
    <row r="334" s="7" customFormat="1" x14ac:dyDescent="0.3"/>
    <row r="335" s="7" customFormat="1" x14ac:dyDescent="0.3"/>
    <row r="336" s="7" customFormat="1" x14ac:dyDescent="0.3"/>
    <row r="337" s="7" customFormat="1" x14ac:dyDescent="0.3"/>
    <row r="338" s="7" customFormat="1" x14ac:dyDescent="0.3"/>
    <row r="339" s="7" customFormat="1" x14ac:dyDescent="0.3"/>
    <row r="340" s="7" customFormat="1" x14ac:dyDescent="0.3"/>
    <row r="341" s="7" customFormat="1" x14ac:dyDescent="0.3"/>
    <row r="342" s="7" customFormat="1" x14ac:dyDescent="0.3"/>
    <row r="343" s="7" customFormat="1" x14ac:dyDescent="0.3"/>
    <row r="344" s="7" customFormat="1" x14ac:dyDescent="0.3"/>
    <row r="345" s="7" customFormat="1" x14ac:dyDescent="0.3"/>
    <row r="346" s="7" customFormat="1" x14ac:dyDescent="0.3"/>
    <row r="347" s="7" customFormat="1" x14ac:dyDescent="0.3"/>
    <row r="348" s="7" customFormat="1" x14ac:dyDescent="0.3"/>
    <row r="349" s="7" customFormat="1" x14ac:dyDescent="0.3"/>
    <row r="350" s="7" customFormat="1" x14ac:dyDescent="0.3"/>
    <row r="351" s="7" customFormat="1" x14ac:dyDescent="0.3"/>
    <row r="352" s="7" customFormat="1" x14ac:dyDescent="0.3"/>
    <row r="353" s="7" customFormat="1" x14ac:dyDescent="0.3"/>
    <row r="354" s="7" customFormat="1" x14ac:dyDescent="0.3"/>
    <row r="355" s="7" customFormat="1" x14ac:dyDescent="0.3"/>
    <row r="356" s="7" customFormat="1" x14ac:dyDescent="0.3"/>
    <row r="357" s="7" customFormat="1" x14ac:dyDescent="0.3"/>
    <row r="358" s="7" customFormat="1" x14ac:dyDescent="0.3"/>
    <row r="359" s="7" customFormat="1" x14ac:dyDescent="0.3"/>
    <row r="360" s="7" customFormat="1" x14ac:dyDescent="0.3"/>
    <row r="361" s="7" customFormat="1" x14ac:dyDescent="0.3"/>
    <row r="362" s="7" customFormat="1" x14ac:dyDescent="0.3"/>
    <row r="363" s="7" customFormat="1" x14ac:dyDescent="0.3"/>
    <row r="364" s="7" customFormat="1" x14ac:dyDescent="0.3"/>
    <row r="365" s="7" customFormat="1" x14ac:dyDescent="0.3"/>
    <row r="366" s="7" customFormat="1" x14ac:dyDescent="0.3"/>
    <row r="367" s="7" customFormat="1" x14ac:dyDescent="0.3"/>
    <row r="368" s="7" customFormat="1" x14ac:dyDescent="0.3"/>
    <row r="369" s="7" customFormat="1" x14ac:dyDescent="0.3"/>
    <row r="370" s="7" customFormat="1" x14ac:dyDescent="0.3"/>
    <row r="371" s="7" customFormat="1" x14ac:dyDescent="0.3"/>
    <row r="372" s="7" customFormat="1" x14ac:dyDescent="0.3"/>
    <row r="373" s="7" customFormat="1" x14ac:dyDescent="0.3"/>
    <row r="374" s="7" customFormat="1" x14ac:dyDescent="0.3"/>
    <row r="375" s="7" customFormat="1" x14ac:dyDescent="0.3"/>
    <row r="376" s="7" customFormat="1" x14ac:dyDescent="0.3"/>
    <row r="377" s="7" customFormat="1" x14ac:dyDescent="0.3"/>
    <row r="378" s="7" customFormat="1" x14ac:dyDescent="0.3"/>
    <row r="379" s="7" customFormat="1" x14ac:dyDescent="0.3"/>
    <row r="380" s="7" customFormat="1" x14ac:dyDescent="0.3"/>
    <row r="381" s="7" customFormat="1" x14ac:dyDescent="0.3"/>
    <row r="382" s="7" customFormat="1" x14ac:dyDescent="0.3"/>
    <row r="383" s="7" customFormat="1" x14ac:dyDescent="0.3"/>
    <row r="384" s="7" customFormat="1" x14ac:dyDescent="0.3"/>
    <row r="385" s="7" customFormat="1" x14ac:dyDescent="0.3"/>
    <row r="386" s="7" customFormat="1" x14ac:dyDescent="0.3"/>
    <row r="387" s="7" customFormat="1" x14ac:dyDescent="0.3"/>
    <row r="388" s="7" customFormat="1" x14ac:dyDescent="0.3"/>
    <row r="389" s="7" customFormat="1" x14ac:dyDescent="0.3"/>
    <row r="390" s="7" customFormat="1" x14ac:dyDescent="0.3"/>
    <row r="391" s="7" customFormat="1" x14ac:dyDescent="0.3"/>
    <row r="392" s="7" customFormat="1" x14ac:dyDescent="0.3"/>
    <row r="393" s="7" customFormat="1" x14ac:dyDescent="0.3"/>
    <row r="394" s="7" customFormat="1" x14ac:dyDescent="0.3"/>
    <row r="395" s="7" customFormat="1" x14ac:dyDescent="0.3"/>
    <row r="396" s="7" customFormat="1" x14ac:dyDescent="0.3"/>
    <row r="397" s="7" customFormat="1" x14ac:dyDescent="0.3"/>
    <row r="398" s="7" customFormat="1" x14ac:dyDescent="0.3"/>
    <row r="399" s="7" customFormat="1" x14ac:dyDescent="0.3"/>
    <row r="400" s="7" customFormat="1" x14ac:dyDescent="0.3"/>
    <row r="401" s="7" customFormat="1" x14ac:dyDescent="0.3"/>
    <row r="402" s="7" customFormat="1" x14ac:dyDescent="0.3"/>
    <row r="403" s="7" customFormat="1" x14ac:dyDescent="0.3"/>
    <row r="404" s="7" customFormat="1" x14ac:dyDescent="0.3"/>
    <row r="405" s="7" customFormat="1" x14ac:dyDescent="0.3"/>
    <row r="406" s="7" customFormat="1" x14ac:dyDescent="0.3"/>
    <row r="407" s="7" customFormat="1" x14ac:dyDescent="0.3"/>
    <row r="408" s="7" customFormat="1" x14ac:dyDescent="0.3"/>
    <row r="409" s="7" customFormat="1" x14ac:dyDescent="0.3"/>
    <row r="410" s="7" customFormat="1" x14ac:dyDescent="0.3"/>
    <row r="411" s="7" customFormat="1" x14ac:dyDescent="0.3"/>
    <row r="412" s="7" customFormat="1" x14ac:dyDescent="0.3"/>
    <row r="413" s="7" customFormat="1" x14ac:dyDescent="0.3"/>
    <row r="414" s="7" customFormat="1" x14ac:dyDescent="0.3"/>
    <row r="415" s="7" customFormat="1" x14ac:dyDescent="0.3"/>
    <row r="416" s="7" customFormat="1" x14ac:dyDescent="0.3"/>
    <row r="417" s="7" customFormat="1" x14ac:dyDescent="0.3"/>
    <row r="418" s="7" customFormat="1" x14ac:dyDescent="0.3"/>
    <row r="419" s="7" customFormat="1" x14ac:dyDescent="0.3"/>
    <row r="420" s="7" customFormat="1" x14ac:dyDescent="0.3"/>
    <row r="421" s="7" customFormat="1" x14ac:dyDescent="0.3"/>
    <row r="422" s="7" customFormat="1" x14ac:dyDescent="0.3"/>
    <row r="423" s="7" customFormat="1" x14ac:dyDescent="0.3"/>
    <row r="424" s="7" customFormat="1" x14ac:dyDescent="0.3"/>
    <row r="425" s="7" customFormat="1" x14ac:dyDescent="0.3"/>
    <row r="426" s="7" customFormat="1" x14ac:dyDescent="0.3"/>
    <row r="427" s="7" customFormat="1" x14ac:dyDescent="0.3"/>
    <row r="428" s="7" customFormat="1" x14ac:dyDescent="0.3"/>
    <row r="429" s="7" customFormat="1" x14ac:dyDescent="0.3"/>
    <row r="430" s="7" customFormat="1" x14ac:dyDescent="0.3"/>
    <row r="431" s="7" customFormat="1" x14ac:dyDescent="0.3"/>
    <row r="432" s="7" customFormat="1" x14ac:dyDescent="0.3"/>
    <row r="433" s="7" customFormat="1" x14ac:dyDescent="0.3"/>
    <row r="434" s="7" customFormat="1" x14ac:dyDescent="0.3"/>
    <row r="435" s="7" customFormat="1" x14ac:dyDescent="0.3"/>
    <row r="436" s="7" customFormat="1" x14ac:dyDescent="0.3"/>
    <row r="437" s="7" customFormat="1" x14ac:dyDescent="0.3"/>
    <row r="438" s="7" customFormat="1" x14ac:dyDescent="0.3"/>
    <row r="439" s="7" customFormat="1" x14ac:dyDescent="0.3"/>
    <row r="440" s="7" customFormat="1" x14ac:dyDescent="0.3"/>
    <row r="441" s="7" customFormat="1" x14ac:dyDescent="0.3"/>
    <row r="442" s="7" customFormat="1" x14ac:dyDescent="0.3"/>
    <row r="443" s="7" customFormat="1" x14ac:dyDescent="0.3"/>
    <row r="444" s="7" customFormat="1" x14ac:dyDescent="0.3"/>
    <row r="445" s="7" customFormat="1" x14ac:dyDescent="0.3"/>
    <row r="446" s="7" customFormat="1" x14ac:dyDescent="0.3"/>
    <row r="447" s="7" customFormat="1" x14ac:dyDescent="0.3"/>
    <row r="448" s="7" customFormat="1" x14ac:dyDescent="0.3"/>
    <row r="449" s="7" customFormat="1" x14ac:dyDescent="0.3"/>
    <row r="450" s="7" customFormat="1" x14ac:dyDescent="0.3"/>
    <row r="451" s="7" customFormat="1" x14ac:dyDescent="0.3"/>
    <row r="452" s="7" customFormat="1" x14ac:dyDescent="0.3"/>
    <row r="453" s="7" customFormat="1" x14ac:dyDescent="0.3"/>
    <row r="454" s="7" customFormat="1" x14ac:dyDescent="0.3"/>
    <row r="455" s="7" customFormat="1" x14ac:dyDescent="0.3"/>
    <row r="456" s="7" customFormat="1" x14ac:dyDescent="0.3"/>
    <row r="457" s="7" customFormat="1" x14ac:dyDescent="0.3"/>
    <row r="458" s="7" customFormat="1" x14ac:dyDescent="0.3"/>
    <row r="459" s="7" customFormat="1" x14ac:dyDescent="0.3"/>
    <row r="460" s="7" customFormat="1" x14ac:dyDescent="0.3"/>
    <row r="461" s="7" customFormat="1" x14ac:dyDescent="0.3"/>
    <row r="462" s="7" customFormat="1" x14ac:dyDescent="0.3"/>
    <row r="463" s="7" customFormat="1" x14ac:dyDescent="0.3"/>
    <row r="464" s="7" customFormat="1" x14ac:dyDescent="0.3"/>
    <row r="465" s="7" customFormat="1" x14ac:dyDescent="0.3"/>
    <row r="466" s="7" customFormat="1" x14ac:dyDescent="0.3"/>
    <row r="467" s="7" customFormat="1" x14ac:dyDescent="0.3"/>
    <row r="468" s="7" customFormat="1" x14ac:dyDescent="0.3"/>
    <row r="469" s="7" customFormat="1" x14ac:dyDescent="0.3"/>
    <row r="470" s="7" customFormat="1" x14ac:dyDescent="0.3"/>
    <row r="471" s="7" customFormat="1" x14ac:dyDescent="0.3"/>
    <row r="472" s="7" customFormat="1" x14ac:dyDescent="0.3"/>
    <row r="473" s="7" customFormat="1" x14ac:dyDescent="0.3"/>
    <row r="474" s="7" customFormat="1" x14ac:dyDescent="0.3"/>
    <row r="475" s="7" customFormat="1" x14ac:dyDescent="0.3"/>
    <row r="476" s="7" customFormat="1" x14ac:dyDescent="0.3"/>
    <row r="477" s="7" customFormat="1" x14ac:dyDescent="0.3"/>
    <row r="478" s="7" customFormat="1" x14ac:dyDescent="0.3"/>
    <row r="479" s="7" customFormat="1" x14ac:dyDescent="0.3"/>
    <row r="480" s="7" customFormat="1" x14ac:dyDescent="0.3"/>
    <row r="481" s="7" customFormat="1" x14ac:dyDescent="0.3"/>
    <row r="482" s="7" customFormat="1" x14ac:dyDescent="0.3"/>
    <row r="483" s="7" customFormat="1" x14ac:dyDescent="0.3"/>
    <row r="484" s="7" customFormat="1" x14ac:dyDescent="0.3"/>
    <row r="485" s="7" customFormat="1" x14ac:dyDescent="0.3"/>
    <row r="486" s="7" customFormat="1" x14ac:dyDescent="0.3"/>
    <row r="487" s="7" customFormat="1" x14ac:dyDescent="0.3"/>
    <row r="488" s="7" customFormat="1" x14ac:dyDescent="0.3"/>
    <row r="489" s="7" customFormat="1" x14ac:dyDescent="0.3"/>
    <row r="490" s="7" customFormat="1" x14ac:dyDescent="0.3"/>
    <row r="491" s="7" customFormat="1" x14ac:dyDescent="0.3"/>
    <row r="492" s="7" customFormat="1" x14ac:dyDescent="0.3"/>
    <row r="493" s="7" customFormat="1" x14ac:dyDescent="0.3"/>
    <row r="494" s="7" customFormat="1" x14ac:dyDescent="0.3"/>
    <row r="495" s="7" customFormat="1" x14ac:dyDescent="0.3"/>
    <row r="496" s="7" customFormat="1" x14ac:dyDescent="0.3"/>
    <row r="497" s="7" customFormat="1" x14ac:dyDescent="0.3"/>
    <row r="498" s="7" customFormat="1" x14ac:dyDescent="0.3"/>
    <row r="499" s="7" customFormat="1" x14ac:dyDescent="0.3"/>
    <row r="500" s="7" customFormat="1" x14ac:dyDescent="0.3"/>
    <row r="501" s="7" customFormat="1" x14ac:dyDescent="0.3"/>
    <row r="502" s="7" customFormat="1" x14ac:dyDescent="0.3"/>
    <row r="503" s="7" customFormat="1" x14ac:dyDescent="0.3"/>
    <row r="504" s="7" customFormat="1" x14ac:dyDescent="0.3"/>
    <row r="505" s="7" customFormat="1" x14ac:dyDescent="0.3"/>
    <row r="506" s="7" customFormat="1" x14ac:dyDescent="0.3"/>
    <row r="507" s="7" customFormat="1" x14ac:dyDescent="0.3"/>
    <row r="508" s="7" customFormat="1" x14ac:dyDescent="0.3"/>
    <row r="509" s="7" customFormat="1" x14ac:dyDescent="0.3"/>
    <row r="510" s="7" customFormat="1" x14ac:dyDescent="0.3"/>
    <row r="511" s="7" customFormat="1" x14ac:dyDescent="0.3"/>
    <row r="512" s="7" customFormat="1" x14ac:dyDescent="0.3"/>
    <row r="513" s="7" customFormat="1" x14ac:dyDescent="0.3"/>
    <row r="514" s="7" customFormat="1" x14ac:dyDescent="0.3"/>
    <row r="515" s="7" customFormat="1" x14ac:dyDescent="0.3"/>
    <row r="516" s="7" customFormat="1" x14ac:dyDescent="0.3"/>
    <row r="517" s="7" customFormat="1" x14ac:dyDescent="0.3"/>
    <row r="518" s="7" customFormat="1" x14ac:dyDescent="0.3"/>
    <row r="519" s="7" customFormat="1" x14ac:dyDescent="0.3"/>
    <row r="520" s="7" customFormat="1" x14ac:dyDescent="0.3"/>
    <row r="521" s="7" customFormat="1" x14ac:dyDescent="0.3"/>
    <row r="522" s="7" customFormat="1" x14ac:dyDescent="0.3"/>
    <row r="523" s="7" customFormat="1" x14ac:dyDescent="0.3"/>
    <row r="524" s="7" customFormat="1" x14ac:dyDescent="0.3"/>
    <row r="525" s="7" customFormat="1" x14ac:dyDescent="0.3"/>
    <row r="526" s="7" customFormat="1" x14ac:dyDescent="0.3"/>
    <row r="527" s="7" customFormat="1" x14ac:dyDescent="0.3"/>
    <row r="528" s="7" customFormat="1" x14ac:dyDescent="0.3"/>
    <row r="529" s="7" customFormat="1" x14ac:dyDescent="0.3"/>
    <row r="530" s="7" customFormat="1" x14ac:dyDescent="0.3"/>
    <row r="531" s="7" customFormat="1" x14ac:dyDescent="0.3"/>
    <row r="532" s="7" customFormat="1" x14ac:dyDescent="0.3"/>
    <row r="533" s="7" customFormat="1" x14ac:dyDescent="0.3"/>
    <row r="534" s="7" customFormat="1" x14ac:dyDescent="0.3"/>
    <row r="535" s="7" customFormat="1" x14ac:dyDescent="0.3"/>
    <row r="536" s="7" customFormat="1" x14ac:dyDescent="0.3"/>
    <row r="537" s="7" customFormat="1" x14ac:dyDescent="0.3"/>
    <row r="538" s="7" customFormat="1" x14ac:dyDescent="0.3"/>
    <row r="539" s="7" customFormat="1" x14ac:dyDescent="0.3"/>
    <row r="540" s="7" customFormat="1" x14ac:dyDescent="0.3"/>
    <row r="541" s="7" customFormat="1" x14ac:dyDescent="0.3"/>
    <row r="542" s="7" customFormat="1" x14ac:dyDescent="0.3"/>
    <row r="543" s="7" customFormat="1" x14ac:dyDescent="0.3"/>
    <row r="544" s="7" customFormat="1" x14ac:dyDescent="0.3"/>
    <row r="545" s="7" customFormat="1" x14ac:dyDescent="0.3"/>
    <row r="546" s="7" customFormat="1" x14ac:dyDescent="0.3"/>
    <row r="547" s="7" customFormat="1" x14ac:dyDescent="0.3"/>
    <row r="548" s="7" customFormat="1" x14ac:dyDescent="0.3"/>
    <row r="549" s="7" customFormat="1" x14ac:dyDescent="0.3"/>
    <row r="550" s="7" customFormat="1" x14ac:dyDescent="0.3"/>
    <row r="551" s="7" customFormat="1" x14ac:dyDescent="0.3"/>
    <row r="552" s="7" customFormat="1" x14ac:dyDescent="0.3"/>
    <row r="553" s="7" customFormat="1" x14ac:dyDescent="0.3"/>
    <row r="554" s="7" customFormat="1" x14ac:dyDescent="0.3"/>
    <row r="555" s="7" customFormat="1" x14ac:dyDescent="0.3"/>
    <row r="556" s="7" customFormat="1" x14ac:dyDescent="0.3"/>
    <row r="557" s="7" customFormat="1" x14ac:dyDescent="0.3"/>
    <row r="558" s="7" customFormat="1" x14ac:dyDescent="0.3"/>
    <row r="559" s="7" customFormat="1" x14ac:dyDescent="0.3"/>
    <row r="560" s="7" customFormat="1" x14ac:dyDescent="0.3"/>
    <row r="561" s="7" customFormat="1" x14ac:dyDescent="0.3"/>
    <row r="562" s="7" customFormat="1" x14ac:dyDescent="0.3"/>
    <row r="563" s="7" customFormat="1" x14ac:dyDescent="0.3"/>
    <row r="564" s="7" customFormat="1" x14ac:dyDescent="0.3"/>
    <row r="565" s="7" customFormat="1" x14ac:dyDescent="0.3"/>
    <row r="566" s="7" customFormat="1" x14ac:dyDescent="0.3"/>
    <row r="567" s="7" customFormat="1" x14ac:dyDescent="0.3"/>
    <row r="568" s="7" customFormat="1" x14ac:dyDescent="0.3"/>
    <row r="569" s="7" customFormat="1" x14ac:dyDescent="0.3"/>
    <row r="570" s="7" customFormat="1" x14ac:dyDescent="0.3"/>
    <row r="571" s="7" customFormat="1" x14ac:dyDescent="0.3"/>
    <row r="572" s="7" customFormat="1" x14ac:dyDescent="0.3"/>
    <row r="573" s="7" customFormat="1" x14ac:dyDescent="0.3"/>
    <row r="574" s="7" customFormat="1" x14ac:dyDescent="0.3"/>
    <row r="575" s="7" customFormat="1" x14ac:dyDescent="0.3"/>
    <row r="576" s="7" customFormat="1" x14ac:dyDescent="0.3"/>
    <row r="577" s="7" customFormat="1" x14ac:dyDescent="0.3"/>
    <row r="578" s="7" customFormat="1" x14ac:dyDescent="0.3"/>
    <row r="579" s="7" customFormat="1" x14ac:dyDescent="0.3"/>
    <row r="580" s="7" customFormat="1" x14ac:dyDescent="0.3"/>
    <row r="581" s="7" customFormat="1" x14ac:dyDescent="0.3"/>
    <row r="582" s="7" customFormat="1" x14ac:dyDescent="0.3"/>
    <row r="583" s="7" customFormat="1" x14ac:dyDescent="0.3"/>
    <row r="584" s="7" customFormat="1" x14ac:dyDescent="0.3"/>
    <row r="585" s="7" customFormat="1" x14ac:dyDescent="0.3"/>
    <row r="586" s="7" customFormat="1" x14ac:dyDescent="0.3"/>
    <row r="587" s="7" customFormat="1" x14ac:dyDescent="0.3"/>
    <row r="588" s="7" customFormat="1" x14ac:dyDescent="0.3"/>
    <row r="589" s="7" customFormat="1" x14ac:dyDescent="0.3"/>
    <row r="590" s="7" customFormat="1" x14ac:dyDescent="0.3"/>
    <row r="591" s="7" customFormat="1" x14ac:dyDescent="0.3"/>
    <row r="592" s="7" customFormat="1" x14ac:dyDescent="0.3"/>
    <row r="593" s="7" customFormat="1" x14ac:dyDescent="0.3"/>
    <row r="594" s="7" customFormat="1" x14ac:dyDescent="0.3"/>
    <row r="595" s="7" customFormat="1" x14ac:dyDescent="0.3"/>
    <row r="596" s="7" customFormat="1" x14ac:dyDescent="0.3"/>
    <row r="597" s="7" customFormat="1" x14ac:dyDescent="0.3"/>
    <row r="598" s="7" customFormat="1" x14ac:dyDescent="0.3"/>
    <row r="599" s="7" customFormat="1" x14ac:dyDescent="0.3"/>
    <row r="600" s="7" customFormat="1" x14ac:dyDescent="0.3"/>
    <row r="601" s="7" customFormat="1" x14ac:dyDescent="0.3"/>
    <row r="602" s="7" customFormat="1" x14ac:dyDescent="0.3"/>
    <row r="603" s="7" customFormat="1" x14ac:dyDescent="0.3"/>
    <row r="604" s="7" customFormat="1" x14ac:dyDescent="0.3"/>
    <row r="605" s="7" customFormat="1" x14ac:dyDescent="0.3"/>
    <row r="606" s="7" customFormat="1" x14ac:dyDescent="0.3"/>
    <row r="607" s="7" customFormat="1" x14ac:dyDescent="0.3"/>
    <row r="608" s="7" customFormat="1" x14ac:dyDescent="0.3"/>
    <row r="609" s="7" customFormat="1" x14ac:dyDescent="0.3"/>
    <row r="610" s="7" customFormat="1" x14ac:dyDescent="0.3"/>
    <row r="611" s="7" customFormat="1" x14ac:dyDescent="0.3"/>
    <row r="612" s="7" customFormat="1" x14ac:dyDescent="0.3"/>
    <row r="613" s="7" customFormat="1" x14ac:dyDescent="0.3"/>
    <row r="614" s="7" customFormat="1" x14ac:dyDescent="0.3"/>
    <row r="615" s="7" customFormat="1" x14ac:dyDescent="0.3"/>
    <row r="616" s="7" customFormat="1" x14ac:dyDescent="0.3"/>
    <row r="617" s="7" customFormat="1" x14ac:dyDescent="0.3"/>
    <row r="618" s="7" customFormat="1" x14ac:dyDescent="0.3"/>
    <row r="619" s="7" customFormat="1" x14ac:dyDescent="0.3"/>
    <row r="620" s="7" customFormat="1" x14ac:dyDescent="0.3"/>
    <row r="621" s="7" customFormat="1" x14ac:dyDescent="0.3"/>
    <row r="622" s="7" customFormat="1" x14ac:dyDescent="0.3"/>
    <row r="623" s="7" customFormat="1" x14ac:dyDescent="0.3"/>
    <row r="624" s="7" customFormat="1" x14ac:dyDescent="0.3"/>
    <row r="625" s="7" customFormat="1" x14ac:dyDescent="0.3"/>
    <row r="626" s="7" customFormat="1" x14ac:dyDescent="0.3"/>
    <row r="627" s="7" customFormat="1" x14ac:dyDescent="0.3"/>
    <row r="628" s="7" customFormat="1" x14ac:dyDescent="0.3"/>
    <row r="629" s="7" customFormat="1" x14ac:dyDescent="0.3"/>
    <row r="630" s="7" customFormat="1" x14ac:dyDescent="0.3"/>
    <row r="631" s="7" customFormat="1" x14ac:dyDescent="0.3"/>
    <row r="632" s="7" customFormat="1" x14ac:dyDescent="0.3"/>
    <row r="633" s="7" customFormat="1" x14ac:dyDescent="0.3"/>
    <row r="634" s="7" customFormat="1" x14ac:dyDescent="0.3"/>
    <row r="635" s="7" customFormat="1" x14ac:dyDescent="0.3"/>
    <row r="636" s="7" customFormat="1" x14ac:dyDescent="0.3"/>
    <row r="637" s="7" customFormat="1" x14ac:dyDescent="0.3"/>
    <row r="638" s="7" customFormat="1" x14ac:dyDescent="0.3"/>
    <row r="639" s="7" customFormat="1" x14ac:dyDescent="0.3"/>
    <row r="640" s="7" customFormat="1" x14ac:dyDescent="0.3"/>
    <row r="641" s="7" customFormat="1" x14ac:dyDescent="0.3"/>
    <row r="642" s="7" customFormat="1" x14ac:dyDescent="0.3"/>
    <row r="643" s="7" customFormat="1" x14ac:dyDescent="0.3"/>
    <row r="644" s="7" customFormat="1" x14ac:dyDescent="0.3"/>
    <row r="645" s="7" customFormat="1" x14ac:dyDescent="0.3"/>
    <row r="646" s="7" customFormat="1" x14ac:dyDescent="0.3"/>
    <row r="647" s="7" customFormat="1" x14ac:dyDescent="0.3"/>
    <row r="648" s="7" customFormat="1" x14ac:dyDescent="0.3"/>
    <row r="649" s="7" customFormat="1" x14ac:dyDescent="0.3"/>
    <row r="650" s="7" customFormat="1" x14ac:dyDescent="0.3"/>
    <row r="651" s="7" customFormat="1" x14ac:dyDescent="0.3"/>
    <row r="652" s="7" customFormat="1" x14ac:dyDescent="0.3"/>
    <row r="653" s="7" customFormat="1" x14ac:dyDescent="0.3"/>
    <row r="654" s="7" customFormat="1" x14ac:dyDescent="0.3"/>
    <row r="655" s="7" customFormat="1" x14ac:dyDescent="0.3"/>
    <row r="656" s="7" customFormat="1" x14ac:dyDescent="0.3"/>
    <row r="657" s="7" customFormat="1" x14ac:dyDescent="0.3"/>
    <row r="658" s="7" customFormat="1" x14ac:dyDescent="0.3"/>
    <row r="659" s="7" customFormat="1" x14ac:dyDescent="0.3"/>
    <row r="660" s="7" customFormat="1" x14ac:dyDescent="0.3"/>
    <row r="661" s="7" customFormat="1" x14ac:dyDescent="0.3"/>
    <row r="662" s="7" customFormat="1" x14ac:dyDescent="0.3"/>
    <row r="663" s="7" customFormat="1" x14ac:dyDescent="0.3"/>
    <row r="664" s="7" customFormat="1" x14ac:dyDescent="0.3"/>
    <row r="665" s="7" customFormat="1" x14ac:dyDescent="0.3"/>
    <row r="666" s="7" customFormat="1" x14ac:dyDescent="0.3"/>
    <row r="667" s="7" customFormat="1" x14ac:dyDescent="0.3"/>
    <row r="668" s="7" customFormat="1" x14ac:dyDescent="0.3"/>
    <row r="669" s="7" customFormat="1" x14ac:dyDescent="0.3"/>
    <row r="670" s="7" customFormat="1" x14ac:dyDescent="0.3"/>
    <row r="671" s="7" customFormat="1" x14ac:dyDescent="0.3"/>
    <row r="672" s="7" customFormat="1" x14ac:dyDescent="0.3"/>
    <row r="673" s="7" customFormat="1" x14ac:dyDescent="0.3"/>
    <row r="674" s="7" customFormat="1" x14ac:dyDescent="0.3"/>
    <row r="675" s="7" customFormat="1" x14ac:dyDescent="0.3"/>
    <row r="676" s="7" customFormat="1" x14ac:dyDescent="0.3"/>
    <row r="677" s="7" customFormat="1" x14ac:dyDescent="0.3"/>
    <row r="678" s="7" customFormat="1" x14ac:dyDescent="0.3"/>
    <row r="679" s="7" customFormat="1" x14ac:dyDescent="0.3"/>
    <row r="680" s="7" customFormat="1" x14ac:dyDescent="0.3"/>
    <row r="681" s="7" customFormat="1" x14ac:dyDescent="0.3"/>
    <row r="682" s="7" customFormat="1" x14ac:dyDescent="0.3"/>
    <row r="683" s="7" customFormat="1" x14ac:dyDescent="0.3"/>
    <row r="684" s="7" customFormat="1" x14ac:dyDescent="0.3"/>
    <row r="685" s="7" customFormat="1" x14ac:dyDescent="0.3"/>
    <row r="686" s="7" customFormat="1" x14ac:dyDescent="0.3"/>
    <row r="687" s="7" customFormat="1" x14ac:dyDescent="0.3"/>
    <row r="688" s="7" customFormat="1" x14ac:dyDescent="0.3"/>
    <row r="689" s="7" customFormat="1" x14ac:dyDescent="0.3"/>
    <row r="690" s="7" customFormat="1" x14ac:dyDescent="0.3"/>
    <row r="691" s="7" customFormat="1" x14ac:dyDescent="0.3"/>
    <row r="692" s="7" customFormat="1" x14ac:dyDescent="0.3"/>
    <row r="693" s="7" customFormat="1" x14ac:dyDescent="0.3"/>
    <row r="694" s="7" customFormat="1" x14ac:dyDescent="0.3"/>
    <row r="695" s="7" customFormat="1" x14ac:dyDescent="0.3"/>
    <row r="696" s="7" customFormat="1" x14ac:dyDescent="0.3"/>
    <row r="697" s="7" customFormat="1" x14ac:dyDescent="0.3"/>
    <row r="698" s="7" customFormat="1" x14ac:dyDescent="0.3"/>
    <row r="699" s="7" customFormat="1" x14ac:dyDescent="0.3"/>
    <row r="700" s="7" customFormat="1" x14ac:dyDescent="0.3"/>
    <row r="701" s="7" customFormat="1" x14ac:dyDescent="0.3"/>
    <row r="702" s="7" customFormat="1" x14ac:dyDescent="0.3"/>
    <row r="703" s="7" customFormat="1" x14ac:dyDescent="0.3"/>
    <row r="704" s="7" customFormat="1" x14ac:dyDescent="0.3"/>
    <row r="705" s="7" customFormat="1" x14ac:dyDescent="0.3"/>
    <row r="706" s="7" customFormat="1" x14ac:dyDescent="0.3"/>
    <row r="707" s="7" customFormat="1" x14ac:dyDescent="0.3"/>
    <row r="708" s="7" customFormat="1" x14ac:dyDescent="0.3"/>
    <row r="709" s="7" customFormat="1" x14ac:dyDescent="0.3"/>
    <row r="710" s="7" customFormat="1" x14ac:dyDescent="0.3"/>
    <row r="711" s="7" customFormat="1" x14ac:dyDescent="0.3"/>
    <row r="712" s="7" customFormat="1" x14ac:dyDescent="0.3"/>
    <row r="713" s="7" customFormat="1" x14ac:dyDescent="0.3"/>
    <row r="714" s="7" customFormat="1" x14ac:dyDescent="0.3"/>
    <row r="715" s="7" customFormat="1" x14ac:dyDescent="0.3"/>
    <row r="716" s="7" customFormat="1" x14ac:dyDescent="0.3"/>
    <row r="717" s="7" customFormat="1" x14ac:dyDescent="0.3"/>
    <row r="718" s="7" customFormat="1" x14ac:dyDescent="0.3"/>
    <row r="719" s="7" customFormat="1" x14ac:dyDescent="0.3"/>
    <row r="720" s="7" customFormat="1" x14ac:dyDescent="0.3"/>
    <row r="721" s="7" customFormat="1" x14ac:dyDescent="0.3"/>
    <row r="722" s="7" customFormat="1" x14ac:dyDescent="0.3"/>
    <row r="723" s="7" customFormat="1" x14ac:dyDescent="0.3"/>
    <row r="724" s="7" customFormat="1" x14ac:dyDescent="0.3"/>
    <row r="725" s="7" customFormat="1" x14ac:dyDescent="0.3"/>
    <row r="726" s="7" customFormat="1" x14ac:dyDescent="0.3"/>
    <row r="727" s="7" customFormat="1" x14ac:dyDescent="0.3"/>
    <row r="728" s="7" customFormat="1" x14ac:dyDescent="0.3"/>
    <row r="729" s="7" customFormat="1" x14ac:dyDescent="0.3"/>
    <row r="730" s="7" customFormat="1" x14ac:dyDescent="0.3"/>
    <row r="731" s="7" customFormat="1" x14ac:dyDescent="0.3"/>
    <row r="732" s="7" customFormat="1" x14ac:dyDescent="0.3"/>
    <row r="733" s="7" customFormat="1" x14ac:dyDescent="0.3"/>
    <row r="734" s="7" customFormat="1" x14ac:dyDescent="0.3"/>
    <row r="735" s="7" customFormat="1" x14ac:dyDescent="0.3"/>
    <row r="736" s="7" customFormat="1" x14ac:dyDescent="0.3"/>
    <row r="737" s="7" customFormat="1" x14ac:dyDescent="0.3"/>
    <row r="738" s="7" customFormat="1" x14ac:dyDescent="0.3"/>
    <row r="739" s="7" customFormat="1" x14ac:dyDescent="0.3"/>
    <row r="740" s="7" customFormat="1" x14ac:dyDescent="0.3"/>
    <row r="741" s="7" customFormat="1" x14ac:dyDescent="0.3"/>
    <row r="742" s="7" customFormat="1" x14ac:dyDescent="0.3"/>
    <row r="743" s="7" customFormat="1" x14ac:dyDescent="0.3"/>
    <row r="744" s="7" customFormat="1" x14ac:dyDescent="0.3"/>
    <row r="745" s="7" customFormat="1" x14ac:dyDescent="0.3"/>
    <row r="746" s="7" customFormat="1" x14ac:dyDescent="0.3"/>
    <row r="747" s="7" customFormat="1" x14ac:dyDescent="0.3"/>
    <row r="748" s="7" customFormat="1" x14ac:dyDescent="0.3"/>
    <row r="749" s="7" customFormat="1" x14ac:dyDescent="0.3"/>
    <row r="750" s="7" customFormat="1" x14ac:dyDescent="0.3"/>
    <row r="751" s="7" customFormat="1" x14ac:dyDescent="0.3"/>
    <row r="752" s="7" customFormat="1" x14ac:dyDescent="0.3"/>
    <row r="753" s="7" customFormat="1" x14ac:dyDescent="0.3"/>
    <row r="754" s="7" customFormat="1" x14ac:dyDescent="0.3"/>
    <row r="755" s="7" customFormat="1" x14ac:dyDescent="0.3"/>
    <row r="756" s="7" customFormat="1" x14ac:dyDescent="0.3"/>
    <row r="757" s="7" customFormat="1" x14ac:dyDescent="0.3"/>
    <row r="758" s="7" customFormat="1" x14ac:dyDescent="0.3"/>
    <row r="759" s="7" customFormat="1" x14ac:dyDescent="0.3"/>
    <row r="760" s="7" customFormat="1" x14ac:dyDescent="0.3"/>
    <row r="761" s="7" customFormat="1" x14ac:dyDescent="0.3"/>
    <row r="762" s="7" customFormat="1" x14ac:dyDescent="0.3"/>
    <row r="763" s="7" customFormat="1" x14ac:dyDescent="0.3"/>
    <row r="764" s="7" customFormat="1" x14ac:dyDescent="0.3"/>
    <row r="765" s="7" customFormat="1" x14ac:dyDescent="0.3"/>
    <row r="766" s="7" customFormat="1" x14ac:dyDescent="0.3"/>
    <row r="767" s="7" customFormat="1" x14ac:dyDescent="0.3"/>
    <row r="768" s="7" customFormat="1" x14ac:dyDescent="0.3"/>
    <row r="769" s="7" customFormat="1" x14ac:dyDescent="0.3"/>
    <row r="770" s="7" customFormat="1" x14ac:dyDescent="0.3"/>
    <row r="771" s="7" customFormat="1" x14ac:dyDescent="0.3"/>
    <row r="772" s="7" customFormat="1" x14ac:dyDescent="0.3"/>
    <row r="773" s="7" customFormat="1" x14ac:dyDescent="0.3"/>
    <row r="774" s="7" customFormat="1" x14ac:dyDescent="0.3"/>
    <row r="775" s="7" customFormat="1" x14ac:dyDescent="0.3"/>
    <row r="776" s="7" customFormat="1" x14ac:dyDescent="0.3"/>
    <row r="777" s="7" customFormat="1" x14ac:dyDescent="0.3"/>
    <row r="778" s="7" customFormat="1" x14ac:dyDescent="0.3"/>
    <row r="779" s="7" customFormat="1" x14ac:dyDescent="0.3"/>
    <row r="780" s="7" customFormat="1" x14ac:dyDescent="0.3"/>
    <row r="781" s="7" customFormat="1" x14ac:dyDescent="0.3"/>
    <row r="782" s="7" customFormat="1" x14ac:dyDescent="0.3"/>
    <row r="783" s="7" customFormat="1" x14ac:dyDescent="0.3"/>
    <row r="784" s="7" customFormat="1" x14ac:dyDescent="0.3"/>
    <row r="785" s="7" customFormat="1" x14ac:dyDescent="0.3"/>
    <row r="786" s="7" customFormat="1" x14ac:dyDescent="0.3"/>
    <row r="787" s="7" customFormat="1" x14ac:dyDescent="0.3"/>
    <row r="788" s="7" customFormat="1" x14ac:dyDescent="0.3"/>
    <row r="789" s="7" customFormat="1" x14ac:dyDescent="0.3"/>
    <row r="790" s="7" customFormat="1" x14ac:dyDescent="0.3"/>
    <row r="791" s="7" customFormat="1" x14ac:dyDescent="0.3"/>
    <row r="792" s="7" customFormat="1" x14ac:dyDescent="0.3"/>
    <row r="793" s="7" customFormat="1" x14ac:dyDescent="0.3"/>
    <row r="794" s="7" customFormat="1" x14ac:dyDescent="0.3"/>
    <row r="795" s="7" customFormat="1" x14ac:dyDescent="0.3"/>
    <row r="796" s="7" customFormat="1" x14ac:dyDescent="0.3"/>
    <row r="797" s="7" customFormat="1" x14ac:dyDescent="0.3"/>
    <row r="798" s="7" customFormat="1" x14ac:dyDescent="0.3"/>
    <row r="799" s="7" customFormat="1" x14ac:dyDescent="0.3"/>
    <row r="800" s="7" customFormat="1" x14ac:dyDescent="0.3"/>
    <row r="801" s="7" customFormat="1" x14ac:dyDescent="0.3"/>
    <row r="802" s="7" customFormat="1" x14ac:dyDescent="0.3"/>
    <row r="803" s="7" customFormat="1" x14ac:dyDescent="0.3"/>
    <row r="804" s="7" customFormat="1" x14ac:dyDescent="0.3"/>
    <row r="805" s="7" customFormat="1" x14ac:dyDescent="0.3"/>
    <row r="806" s="7" customFormat="1" x14ac:dyDescent="0.3"/>
    <row r="807" s="7" customFormat="1" x14ac:dyDescent="0.3"/>
    <row r="808" s="7" customFormat="1" x14ac:dyDescent="0.3"/>
    <row r="809" s="7" customFormat="1" x14ac:dyDescent="0.3"/>
    <row r="810" s="7" customFormat="1" x14ac:dyDescent="0.3"/>
    <row r="811" s="7" customFormat="1" x14ac:dyDescent="0.3"/>
    <row r="812" s="7" customFormat="1" x14ac:dyDescent="0.3"/>
    <row r="813" s="7" customFormat="1" x14ac:dyDescent="0.3"/>
    <row r="814" s="7" customFormat="1" x14ac:dyDescent="0.3"/>
    <row r="815" s="7" customFormat="1" x14ac:dyDescent="0.3"/>
    <row r="816" s="7" customFormat="1" x14ac:dyDescent="0.3"/>
    <row r="817" s="7" customFormat="1" x14ac:dyDescent="0.3"/>
    <row r="818" s="7" customFormat="1" x14ac:dyDescent="0.3"/>
    <row r="819" s="7" customFormat="1" x14ac:dyDescent="0.3"/>
    <row r="820" s="7" customFormat="1" x14ac:dyDescent="0.3"/>
    <row r="821" s="7" customFormat="1" x14ac:dyDescent="0.3"/>
    <row r="822" s="7" customFormat="1" x14ac:dyDescent="0.3"/>
    <row r="823" s="7" customFormat="1" x14ac:dyDescent="0.3"/>
    <row r="824" s="7" customFormat="1" x14ac:dyDescent="0.3"/>
    <row r="825" s="7" customFormat="1" x14ac:dyDescent="0.3"/>
    <row r="826" s="7" customFormat="1" x14ac:dyDescent="0.3"/>
    <row r="827" s="7" customFormat="1" x14ac:dyDescent="0.3"/>
    <row r="828" s="7" customFormat="1" x14ac:dyDescent="0.3"/>
    <row r="829" s="7" customFormat="1" x14ac:dyDescent="0.3"/>
    <row r="830" s="7" customFormat="1" x14ac:dyDescent="0.3"/>
    <row r="831" s="7" customFormat="1" x14ac:dyDescent="0.3"/>
    <row r="832" s="7" customFormat="1" x14ac:dyDescent="0.3"/>
    <row r="833" s="7" customFormat="1" x14ac:dyDescent="0.3"/>
    <row r="834" s="7" customFormat="1" x14ac:dyDescent="0.3"/>
    <row r="835" s="7" customFormat="1" x14ac:dyDescent="0.3"/>
    <row r="836" s="7" customFormat="1" x14ac:dyDescent="0.3"/>
    <row r="837" s="7" customFormat="1" x14ac:dyDescent="0.3"/>
    <row r="838" s="7" customFormat="1" x14ac:dyDescent="0.3"/>
    <row r="839" s="7" customFormat="1" x14ac:dyDescent="0.3"/>
    <row r="840" s="7" customFormat="1" x14ac:dyDescent="0.3"/>
    <row r="841" s="7" customFormat="1" x14ac:dyDescent="0.3"/>
    <row r="842" s="7" customFormat="1" x14ac:dyDescent="0.3"/>
    <row r="843" s="7" customFormat="1" x14ac:dyDescent="0.3"/>
    <row r="844" s="7" customFormat="1" x14ac:dyDescent="0.3"/>
    <row r="845" s="7" customFormat="1" x14ac:dyDescent="0.3"/>
    <row r="846" s="7" customFormat="1" x14ac:dyDescent="0.3"/>
    <row r="847" s="7" customFormat="1" x14ac:dyDescent="0.3"/>
    <row r="848" s="7" customFormat="1" x14ac:dyDescent="0.3"/>
    <row r="849" s="7" customFormat="1" x14ac:dyDescent="0.3"/>
    <row r="850" s="7" customFormat="1" x14ac:dyDescent="0.3"/>
    <row r="851" s="7" customFormat="1" x14ac:dyDescent="0.3"/>
    <row r="852" s="7" customFormat="1" x14ac:dyDescent="0.3"/>
    <row r="853" s="7" customFormat="1" x14ac:dyDescent="0.3"/>
    <row r="854" s="7" customFormat="1" x14ac:dyDescent="0.3"/>
    <row r="855" s="7" customFormat="1" x14ac:dyDescent="0.3"/>
    <row r="856" s="7" customFormat="1" x14ac:dyDescent="0.3"/>
    <row r="857" s="7" customFormat="1" x14ac:dyDescent="0.3"/>
    <row r="858" s="7" customFormat="1" x14ac:dyDescent="0.3"/>
    <row r="859" s="7" customFormat="1" x14ac:dyDescent="0.3"/>
    <row r="860" s="7" customFormat="1" x14ac:dyDescent="0.3"/>
    <row r="861" s="7" customFormat="1" x14ac:dyDescent="0.3"/>
    <row r="862" s="7" customFormat="1" x14ac:dyDescent="0.3"/>
    <row r="863" s="7" customFormat="1" x14ac:dyDescent="0.3"/>
    <row r="864" s="7" customFormat="1" x14ac:dyDescent="0.3"/>
    <row r="865" s="7" customFormat="1" x14ac:dyDescent="0.3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Jean Santos</cp:lastModifiedBy>
  <dcterms:created xsi:type="dcterms:W3CDTF">2024-12-19T13:13:10Z</dcterms:created>
  <dcterms:modified xsi:type="dcterms:W3CDTF">2026-03-23T21:00:55Z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